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EZEMBRO25" sheetId="1" r:id="rId5"/>
    <sheet state="hidden" name="JANEIRO26" sheetId="2" r:id="rId6"/>
    <sheet state="hidden" name="FEVEREIRO26" sheetId="3" r:id="rId7"/>
    <sheet state="hidden" name="MARÇO26" sheetId="4" r:id="rId8"/>
    <sheet state="hidden" name="ABRIL26" sheetId="5" r:id="rId9"/>
    <sheet state="hidden" name="MAIO26" sheetId="6" r:id="rId10"/>
    <sheet state="hidden" name="JUNHO26" sheetId="7" r:id="rId11"/>
    <sheet state="hidden" name="JULHO26" sheetId="8" r:id="rId12"/>
    <sheet state="visible" name="AGOSTO26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">
      <text>
        <t xml:space="preserve">Em captação de um novo profissional</t>
      </text>
    </comment>
    <comment authorId="0" ref="I4">
      <text>
        <t xml:space="preserve">Confirmar desmame para 2x/semana em 24/02/2025</t>
      </text>
    </comment>
    <comment authorId="0" ref="I3">
      <text>
        <t xml:space="preserve">20 sessões autorizadas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9">
      <text>
        <t xml:space="preserve">Reavaliação em 21/02/2026</t>
      </text>
    </comment>
    <comment authorId="0" ref="G5">
      <text>
        <t xml:space="preserve">Profissional declinou, não chegou a iniciar. </t>
      </text>
    </comment>
    <comment authorId="0" ref="I7">
      <text>
        <t xml:space="preserve">Período autorizado 
- 08/01/2026 a 08/04/2026</t>
      </text>
    </comment>
    <comment authorId="0" ref="G3">
      <text>
        <t xml:space="preserve">Profissional declinou dos atendimentos em 28/01/2026</t>
      </text>
    </comment>
    <comment authorId="0" ref="I4">
      <text>
        <t xml:space="preserve">Desmame para 2x/semana em 27/02/2026</t>
      </text>
    </comment>
    <comment authorId="0" ref="I3">
      <text>
        <t xml:space="preserve">Desmame para 2x/semana em 27/02/2026</t>
      </text>
    </comment>
    <comment authorId="0" ref="I2">
      <text>
        <t xml:space="preserve">Desmame para 3x/semana em 16/02/2026</t>
      </text>
    </comment>
    <comment authorId="0" ref="G24">
      <text>
        <t xml:space="preserve">Cancelado com a profissional em 19/01/2026, devido familiar ter solicitado troca </t>
      </text>
    </comment>
    <comment authorId="0" ref="I25">
      <text>
        <t xml:space="preserve">Reavaliação em 05/02/2026</t>
      </text>
    </comment>
    <comment authorId="0" ref="G22">
      <text>
        <t xml:space="preserve">Profissional declinou em 13/01/2026</t>
      </text>
    </comment>
    <comment authorId="0" ref="I24">
      <text>
        <t xml:space="preserve">Reavaliação em 09/02/2026</t>
      </text>
    </comment>
    <comment authorId="0" ref="I23">
      <text>
        <t xml:space="preserve">Alta em 07/03/2026</t>
      </text>
    </comment>
    <comment authorId="0" ref="I22">
      <text>
        <t xml:space="preserve">Alta em 07/03/2026</t>
      </text>
    </comment>
    <comment authorId="0" ref="I21">
      <text>
        <t xml:space="preserve">Profissional realizará 4 atendimentos em Janeiro, sendo
- 3 reposições referentes aos dias 23/01, 26/01 e 28/01</t>
      </text>
    </comment>
    <comment authorId="0" ref="G16">
      <text>
        <t xml:space="preserve">Em captação de um novo profissional</t>
      </text>
    </comment>
    <comment authorId="0" ref="I18">
      <text>
        <t xml:space="preserve">Período dos atendimentos 
- 07/01 a 11/01/2026</t>
      </text>
    </comment>
    <comment authorId="0" ref="I17">
      <text>
        <t xml:space="preserve">Confirmar desmame para 2x/semana em 24/02/2025</t>
      </text>
    </comment>
    <comment authorId="0" ref="I16">
      <text>
        <t xml:space="preserve">Confirmar desmame para 2x/semana em 24/02/2025</t>
      </text>
    </comment>
    <comment authorId="0" ref="B6">
      <text>
        <t xml:space="preserve">Não pode fazer ouvidoria na casa </t>
      </text>
    </comment>
    <comment authorId="0" ref="B5">
      <text>
        <t xml:space="preserve">Não pode fazer ouvidoria na casa </t>
      </text>
    </comment>
    <comment authorId="0" ref="I12">
      <text>
        <t xml:space="preserve">10 sessões autorizadas
(Autorizado a Karina realizar apenas 6 atendimentos, devido a Katia ter realizado 4)</t>
      </text>
    </comment>
    <comment authorId="0" ref="I11">
      <text>
        <t xml:space="preserve">10 sessões autorizadas, após questionar nova autorização</t>
      </text>
    </comment>
    <comment authorId="0" ref="I10">
      <text>
        <t xml:space="preserve">20 sessões autorizadas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6">
      <text>
        <t xml:space="preserve">declinou</t>
      </text>
    </comment>
    <comment authorId="0" ref="G5">
      <text>
        <t xml:space="preserve">Profissional não conseguiu alinhar horário.</t>
      </text>
    </comment>
    <comment authorId="0" ref="I7">
      <text>
        <t xml:space="preserve">Período autorizado 
- 08/01/2026 a 08/04/2026</t>
      </text>
    </comment>
    <comment authorId="0" ref="G4">
      <text>
        <t xml:space="preserve">Profissional discutiu com a paciente.</t>
      </text>
    </comment>
    <comment authorId="0" ref="G3">
      <text>
        <t xml:space="preserve">profissional vai atender até o dia 06/03.</t>
      </text>
    </comment>
    <comment authorId="0" ref="I2">
      <text>
        <t xml:space="preserve">Desmame para 2x/semana em 27/02/2026</t>
      </text>
    </comment>
    <comment authorId="0" ref="I20">
      <text>
        <t xml:space="preserve">Reavaliação em 05/02/2026</t>
      </text>
    </comment>
    <comment authorId="0" ref="I19">
      <text>
        <t xml:space="preserve">Reavaliação em 05/02/2026</t>
      </text>
    </comment>
    <comment authorId="0" ref="B7">
      <text>
        <t xml:space="preserve">paciente vai viajar 17/02 e o home pediu para cancelar.</t>
      </text>
    </comment>
    <comment authorId="0" ref="G12">
      <text>
        <t xml:space="preserve">Familia solicitou a troca do profissional.</t>
      </text>
    </comment>
    <comment authorId="0" ref="B6">
      <text>
        <t xml:space="preserve">Não pode fazer ouvidoria na casa </t>
      </text>
    </comment>
    <comment authorId="0" ref="B5">
      <text>
        <t xml:space="preserve">Não pode fazer ouvidoria na casa </t>
      </text>
    </comment>
    <comment authorId="0" ref="B4">
      <text>
        <t xml:space="preserve">Não pode fazer ouvidoria na casa </t>
      </text>
    </comment>
    <comment authorId="0" ref="I11">
      <text>
        <t xml:space="preserve">10 sessões autorizadas
(Autorizado a Karina realizar apenas 6 atendimentos, devido a Katia ter realizado 4).
Atendimentos autorizados em fevereiro 3x/semana.
Para março se houver indicação de continuidade pontuar com antecedência.
</t>
      </text>
    </comment>
    <comment authorId="0" ref="G8">
      <text>
        <t xml:space="preserve">Profissional declinou pois foi assaltado no trajeto da residência.</t>
      </text>
    </comment>
    <comment authorId="0" ref="I10">
      <text>
        <t xml:space="preserve">Reavaliação em 21/02/2026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9">
      <text>
        <t xml:space="preserve">Reavaliação em 21/02/2026</t>
      </text>
    </comment>
    <comment authorId="0" ref="V22">
      <text>
        <t xml:space="preserve">Readmissão 13/03. </t>
      </text>
    </comment>
    <comment authorId="0" ref="I8">
      <text>
        <t xml:space="preserve">Desmame para 2x/semana a partir de 01/04 a 30/04/2026.</t>
      </text>
    </comment>
    <comment authorId="0" ref="G4">
      <text>
        <t xml:space="preserve">Família solicitou a troca da profissional. </t>
      </text>
    </comment>
    <comment authorId="0" ref="I6">
      <text>
        <t xml:space="preserve">Período autorizado 
- 08/01/2026 a 08/04/2026</t>
      </text>
    </comment>
    <comment authorId="0" ref="G3">
      <text>
        <t xml:space="preserve">Profissional declinou em 12/03</t>
      </text>
    </comment>
    <comment authorId="0" ref="G2">
      <text>
        <t xml:space="preserve">profissional vai atender até o dia 06/03.</t>
      </text>
    </comment>
    <comment authorId="0" ref="Y13">
      <text>
        <t xml:space="preserve">Readmissão 16/03. </t>
      </text>
    </comment>
    <comment authorId="0" ref="AJ16">
      <text>
        <t xml:space="preserve">readmissão 27/03/2026</t>
      </text>
    </comment>
    <comment authorId="0" ref="I20">
      <text>
        <t xml:space="preserve">Reavaliação em 05/02/2026</t>
      </text>
    </comment>
    <comment authorId="0" ref="I17">
      <text>
        <t xml:space="preserve">3x semana por 30 dias e reavaliação.</t>
      </text>
    </comment>
    <comment authorId="0" ref="G8">
      <text>
        <t xml:space="preserve">profissional declinou em 18/03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L3">
      <text>
        <t xml:space="preserve">readmissão 29/04/2026</t>
      </text>
    </comment>
    <comment authorId="0" ref="I6">
      <text>
        <t xml:space="preserve">Alta em 30/05/2026</t>
      </text>
    </comment>
    <comment authorId="0" ref="I5">
      <text>
        <t xml:space="preserve">Período autorizado 
- 08/01/2026 a 08/04/2026</t>
      </text>
    </comment>
    <comment authorId="0" ref="I21">
      <text>
        <t xml:space="preserve">Período autorizado: 
24/04 a 31/05/2026
Após retornar ao pad de 3x/semana</t>
      </text>
    </comment>
    <comment authorId="0" ref="G12">
      <text>
        <t xml:space="preserve">Fisio fez uma atendimento e declinou</t>
      </text>
    </comment>
    <comment authorId="0" ref="I12">
      <text>
        <t xml:space="preserve">15/04 a 13/06 - 3x/semana,  após 2x/semana. 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L2">
      <text>
        <t xml:space="preserve">readmissão 29/04/2026</t>
      </text>
    </comment>
    <comment authorId="0" ref="I5">
      <text>
        <t xml:space="preserve">Alta em 30/05/2026</t>
      </text>
    </comment>
    <comment authorId="0" ref="I21">
      <text>
        <t xml:space="preserve">Período autorizado: 
24/04 a 31/05/2026
Após retornar ao pad de 3x/semana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5">
      <text>
        <t xml:space="preserve">- Desmame para 2x/semana em 15/08/2026</t>
      </text>
    </comment>
    <comment authorId="0" ref="G19">
      <text>
        <t xml:space="preserve">Passado para a troca em 24/06/2026, profissional confirmou no faturamento que declinou</t>
      </text>
    </comment>
    <comment authorId="0" ref="I4">
      <text>
        <t xml:space="preserve">Período autorizado 
30/06/2026 a 30/07/2026
Após reavaliação</t>
      </text>
    </comment>
    <comment authorId="0" ref="I3">
      <text>
        <t xml:space="preserve">Reavaliação em 22/08/2026</t>
      </text>
    </comment>
    <comment authorId="0" ref="G17">
      <text>
        <t xml:space="preserve">Profissional declinou em 23/06/2026, devido exigência de horário da família </t>
      </text>
    </comment>
    <comment authorId="0" ref="G16">
      <text>
        <t xml:space="preserve">Profissional declinou em 10/06/2026</t>
      </text>
    </comment>
    <comment authorId="0" ref="I18">
      <text>
        <t xml:space="preserve">Desmame para 2x/semana em 19/08/2026</t>
      </text>
    </comment>
    <comment authorId="0" ref="G15">
      <text>
        <t xml:space="preserve">Passado a troca em 29/06/2026</t>
      </text>
    </comment>
    <comment authorId="0" ref="I12">
      <text>
        <t xml:space="preserve">-Autorizado até 03/07/2026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Ouvidoria 21/07: Atendimento realizado com conformidade.
</t>
      </text>
    </comment>
    <comment authorId="0" ref="J7">
      <text>
        <t xml:space="preserve">Ouvidoria 21/07: Atendimento realizado com conformidade.</t>
      </text>
    </comment>
    <comment authorId="0" ref="I5">
      <text>
        <t xml:space="preserve">- Desmame para 2x/semana em 15/08/2026</t>
      </text>
    </comment>
    <comment authorId="0" ref="J5">
      <text>
        <t xml:space="preserve">Caixa postal 21 e 22/07</t>
      </text>
    </comment>
    <comment authorId="0" ref="I3">
      <text>
        <t xml:space="preserve">Reavaliação em 19/08/2026
(confirmar autorização para continuidade dos atendimentos)</t>
      </text>
    </comment>
    <comment authorId="0" ref="J3">
      <text>
        <t xml:space="preserve">Caixa postal 21 e 22/07</t>
      </text>
    </comment>
    <comment authorId="0" ref="B12">
      <text>
        <t xml:space="preserve">Ganep suspendeu a prospecção </t>
      </text>
    </comment>
    <comment authorId="0" ref="G16">
      <text>
        <t xml:space="preserve">Profissional declinou em 10/06/2026</t>
      </text>
    </comment>
    <comment authorId="0" ref="I18">
      <text>
        <t xml:space="preserve">-Reavaliar em 23/09/2026</t>
      </text>
    </comment>
    <comment authorId="0" ref="J16">
      <text>
        <t xml:space="preserve">Declinio
</t>
      </text>
    </comment>
    <comment authorId="0" ref="G12">
      <text>
        <t xml:space="preserve">Em captação de um novo profissional, devido a Katia não estar realizando os atendimentos 3x/semana</t>
      </text>
    </comment>
    <comment authorId="0" ref="J14">
      <text>
        <t xml:space="preserve">Ouvidoria 22/07: Atendimento realizado com conformidade.</t>
      </text>
    </comment>
    <comment authorId="0" ref="J12">
      <text>
        <t xml:space="preserve">Ouvidoria 21/07: Atendimento realizado com conformidade.</t>
      </text>
    </comment>
    <comment authorId="0" ref="I10">
      <text>
        <t xml:space="preserve">Alta total dos atendimentos em 01/08/2026</t>
      </text>
    </comment>
    <comment authorId="0" ref="G6">
      <text>
        <t xml:space="preserve">Profissional não chegou a iniciar e declinou dos atendimentos </t>
      </text>
    </comment>
    <comment authorId="0" ref="J8">
      <text>
        <t xml:space="preserve">Caixa </t>
      </text>
    </comment>
    <comment authorId="0" ref="I6">
      <text>
        <t xml:space="preserve">Período autorizado 
-23/07/2026 a 23/08/2026</t>
      </text>
    </comment>
    <comment authorId="0" ref="J4">
      <text>
        <t xml:space="preserve">Caixa postal 21 e 22/07</t>
      </text>
    </comment>
    <comment authorId="0" ref="J2">
      <text>
        <t xml:space="preserve">Ouvidoria 21/07: Atendimento em conformidade.</t>
      </text>
    </comment>
    <comment authorId="0" ref="G17">
      <text>
        <t xml:space="preserve">Profissional declinou em 23/06/2026, devido exigência de horário da família </t>
      </text>
    </comment>
    <comment authorId="0" ref="I19">
      <text>
        <t xml:space="preserve">Desmame para 2x/semana em 19/08/2026
Reavaliação em 19/09/2026
(confirmar autorização para continuidade dos atendimentos)</t>
      </text>
    </comment>
    <comment authorId="0" ref="J19">
      <text>
        <t xml:space="preserve">Ouvidoria 22/07: Atendimento realizado com conformidade.</t>
      </text>
    </comment>
    <comment authorId="0" ref="G15">
      <text>
        <t xml:space="preserve">Passado a troca em 29/06/2026</t>
      </text>
    </comment>
    <comment authorId="0" ref="I13">
      <text>
        <t xml:space="preserve">Autorizado apenas 4 atendimentos </t>
      </text>
    </comment>
    <comment authorId="0" ref="J11">
      <text>
        <t xml:space="preserve">Ouvidoria 21/07: Atendimento realizado com conformidade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9">
      <text>
        <t xml:space="preserve">Confirmar autorização em 30/09/2026</t>
      </text>
    </comment>
    <comment authorId="0" ref="I7">
      <text>
        <t xml:space="preserve">- Desmame para 2x/semana em 15/08/2026</t>
      </text>
    </comment>
    <comment authorId="0" ref="J7">
      <text>
        <t xml:space="preserve">Caixa postal 21 e 22/07</t>
      </text>
    </comment>
    <comment authorId="0" ref="I5">
      <text>
        <t xml:space="preserve">Reavaliação em 19/08/2026
(confirmar autorização para continuidade dos atendimentos)</t>
      </text>
    </comment>
    <comment authorId="0" ref="J5">
      <text>
        <t xml:space="preserve">Caixa postal 21 e 22/07</t>
      </text>
    </comment>
    <comment authorId="0" ref="I3">
      <text>
        <t xml:space="preserve">Autorizado até 31/08/2026</t>
      </text>
    </comment>
    <comment authorId="0" ref="B20">
      <text>
        <t xml:space="preserve">enviar dia 01</t>
      </text>
    </comment>
    <comment authorId="0" ref="G22">
      <text>
        <t xml:space="preserve">Profissional declinou em 10/08/2026</t>
      </text>
    </comment>
    <comment authorId="0" ref="G20">
      <text>
        <t xml:space="preserve">Profissional declinou em 07/08/2026</t>
      </text>
    </comment>
    <comment authorId="0" ref="I22">
      <text>
        <t xml:space="preserve">Reavaliação em 19/09/2026
(confirmar autorização para continuidade dos atendimentos)</t>
      </text>
    </comment>
    <comment authorId="0" ref="I20">
      <text>
        <t xml:space="preserve">Reavaliação em 19/09/2026
(confirmar autorização para continuidade dos atendimentos)</t>
      </text>
    </comment>
    <comment authorId="0" ref="J20">
      <text>
        <t xml:space="preserve">Ouvidoria 22/07: Atendimento realizado com conformidade.</t>
      </text>
    </comment>
    <comment authorId="0" ref="I18">
      <text>
        <t xml:space="preserve">-Reavaliar em 23/09/2026</t>
      </text>
    </comment>
    <comment authorId="0" ref="I16">
      <text>
        <t xml:space="preserve">Autorizado apenas 4 atendimentos </t>
      </text>
    </comment>
    <comment authorId="0" ref="B8">
      <text>
        <t xml:space="preserve">enviar dia 03</t>
      </text>
    </comment>
    <comment authorId="0" ref="I14">
      <text>
        <t xml:space="preserve">-10 sessões até 31/08/2026</t>
      </text>
    </comment>
    <comment authorId="0" ref="B6">
      <text>
        <t xml:space="preserve">enviar dia 02</t>
      </text>
    </comment>
    <comment authorId="0" ref="I12">
      <text>
        <t xml:space="preserve">Verificar nova autorização em 07/09</t>
      </text>
    </comment>
    <comment authorId="0" ref="I10">
      <text>
        <t xml:space="preserve">Verificar nova autorização em 07/09</t>
      </text>
    </comment>
    <comment authorId="0" ref="B2">
      <text>
        <t xml:space="preserve">enviar dia 03</t>
      </text>
    </comment>
    <comment authorId="0" ref="J8">
      <text>
        <t xml:space="preserve">Caixa postal 21 e 22/07</t>
      </text>
    </comment>
    <comment authorId="0" ref="J6">
      <text>
        <t xml:space="preserve">Caixa postal 21 e 22/07</t>
      </text>
    </comment>
    <comment authorId="0" ref="I4">
      <text>
        <t xml:space="preserve">Autorizado até 31/08/2026</t>
      </text>
    </comment>
    <comment authorId="0" ref="J2">
      <text>
        <t xml:space="preserve">Ouvidoria 21/07: Atendimento em conformidade.</t>
      </text>
    </comment>
    <comment authorId="0" ref="B19">
      <text>
        <t xml:space="preserve">enviar dia 01</t>
      </text>
    </comment>
    <comment authorId="0" ref="B17">
      <text>
        <t xml:space="preserve">enviar dia 02</t>
      </text>
    </comment>
    <comment authorId="0" ref="G21">
      <text>
        <t xml:space="preserve">Profissional declinou em 10/08/2026</t>
      </text>
    </comment>
    <comment authorId="0" ref="G19">
      <text>
        <t xml:space="preserve">Profissional declinou em 07/08/2026</t>
      </text>
    </comment>
    <comment authorId="0" ref="I21">
      <text>
        <t xml:space="preserve">Desmame para 2x/semana em 19/08/2026
Reavaliação em 19/09/2026
(confirmar autorização para continuidade dos atendimentos)</t>
      </text>
    </comment>
    <comment authorId="0" ref="B13">
      <text>
        <t xml:space="preserve">enviar dia 02</t>
      </text>
    </comment>
    <comment authorId="0" ref="I19">
      <text>
        <t xml:space="preserve">Desmame para 2x/semana em 19/08/2026
Reavaliação em 19/09/2026
(confirmar autorização para continuidade dos atendimentos)</t>
      </text>
    </comment>
    <comment authorId="0" ref="J19">
      <text>
        <t xml:space="preserve">Ouvidoria 22/07: Atendimento realizado com conformidade.</t>
      </text>
    </comment>
    <comment authorId="0" ref="J17">
      <text>
        <t xml:space="preserve">Ouvidoria 22/07: Atendimento realizado com conformidade.</t>
      </text>
    </comment>
    <comment authorId="0" ref="B7">
      <text>
        <t xml:space="preserve">enviar dia 03</t>
      </text>
    </comment>
    <comment authorId="0" ref="J15">
      <text>
        <t xml:space="preserve">Ouvidoria 21/07: Atendimento realizado com conformidade
</t>
      </text>
    </comment>
    <comment authorId="0" ref="B5">
      <text>
        <t xml:space="preserve">enviar dia 03</t>
      </text>
    </comment>
    <comment authorId="0" ref="J13">
      <text>
        <t xml:space="preserve">Ouvidoria 21/07: Atendimento realizado com conformidade.</t>
      </text>
    </comment>
  </commentList>
</comments>
</file>

<file path=xl/sharedStrings.xml><?xml version="1.0" encoding="utf-8"?>
<sst xmlns="http://schemas.openxmlformats.org/spreadsheetml/2006/main" count="1337" uniqueCount="227">
  <si>
    <t xml:space="preserve">STATUS </t>
  </si>
  <si>
    <t>PACIENTES</t>
  </si>
  <si>
    <t>CONVÊNIO</t>
  </si>
  <si>
    <t>MOTIVO</t>
  </si>
  <si>
    <t>DATA</t>
  </si>
  <si>
    <t xml:space="preserve">CIDADE </t>
  </si>
  <si>
    <t>PROFISSIONAIS</t>
  </si>
  <si>
    <t>TELEFONE</t>
  </si>
  <si>
    <t>PAD</t>
  </si>
  <si>
    <t>TOTAL</t>
  </si>
  <si>
    <t>IW</t>
  </si>
  <si>
    <t>INTERNAÇÃO</t>
  </si>
  <si>
    <t>ALICE El JAZZAR CURY</t>
  </si>
  <si>
    <t>ADUNZINDA SILVA LO GIUDICE</t>
  </si>
  <si>
    <t>PORTO SEGURO</t>
  </si>
  <si>
    <t>ALICE SAÚDE</t>
  </si>
  <si>
    <t>NOVO PACIENTE</t>
  </si>
  <si>
    <t xml:space="preserve">SÃO PAULO </t>
  </si>
  <si>
    <t>SÃO PAULO</t>
  </si>
  <si>
    <t>Adriana dos Santos Silva</t>
  </si>
  <si>
    <t>Elaine Cristina Cruz e Silva </t>
  </si>
  <si>
    <t>11 98550-9506</t>
  </si>
  <si>
    <t>ISAURA DE MORAES LEONEL FERREIRA</t>
  </si>
  <si>
    <t>11 96719-4100</t>
  </si>
  <si>
    <t>5X/SEMANA</t>
  </si>
  <si>
    <t>3X/SEMANA</t>
  </si>
  <si>
    <t>ECONOMUS</t>
  </si>
  <si>
    <t>ITAPETININGA</t>
  </si>
  <si>
    <t>Cleonice Duarte de Araujo</t>
  </si>
  <si>
    <t>15 99643-2674</t>
  </si>
  <si>
    <t>2X/SEMANA</t>
  </si>
  <si>
    <t>0</t>
  </si>
  <si>
    <t xml:space="preserve">PENDENCIA </t>
  </si>
  <si>
    <t>DESMAME</t>
  </si>
  <si>
    <t>ok</t>
  </si>
  <si>
    <t>COBERTURA</t>
  </si>
  <si>
    <t>Rosana Maria Gomes</t>
  </si>
  <si>
    <t>11 96267-2750</t>
  </si>
  <si>
    <t>Viviana Tavares Campos Silva</t>
  </si>
  <si>
    <t>11 96066-1934</t>
  </si>
  <si>
    <t>ÓBITO</t>
  </si>
  <si>
    <t xml:space="preserve">LUIZA CASERTA SCATENA </t>
  </si>
  <si>
    <t>BENEDICTA AUGUSTA TORRES DE OLIVEIRA</t>
  </si>
  <si>
    <t>-</t>
  </si>
  <si>
    <t>VIVEST</t>
  </si>
  <si>
    <t>Katia Ferreira de Lima Silva  </t>
  </si>
  <si>
    <t>11 95377-7388</t>
  </si>
  <si>
    <t>TROCA</t>
  </si>
  <si>
    <t>ALICE EL JAZZAR CURY</t>
  </si>
  <si>
    <t>Jacilma Bezerra da Silva</t>
  </si>
  <si>
    <t>11 94686-1609</t>
  </si>
  <si>
    <t>2</t>
  </si>
  <si>
    <t>ALTA</t>
  </si>
  <si>
    <t>MARIA DO ROSARIO MARTINS HERMACULA</t>
  </si>
  <si>
    <t>Rogerio Oliveira</t>
  </si>
  <si>
    <t>11 98875-2960</t>
  </si>
  <si>
    <t>CABESP</t>
  </si>
  <si>
    <t>Flávio Silva Pereira</t>
  </si>
  <si>
    <t>Flavio Silva Pereira</t>
  </si>
  <si>
    <t>1197751-7876</t>
  </si>
  <si>
    <t>11 97751-7876</t>
  </si>
  <si>
    <t>FRANCISCA NINA GUEDES FERREIRA ROBERTO</t>
  </si>
  <si>
    <t>ELISIA LIMA ABEGG</t>
  </si>
  <si>
    <t>Elizangela de Oliveira Rodrigues</t>
  </si>
  <si>
    <t>11 94956-5665</t>
  </si>
  <si>
    <t>11 99994-7324</t>
  </si>
  <si>
    <t>JOANA ROCHA DOS SANTOS</t>
  </si>
  <si>
    <t>CARE PLUS</t>
  </si>
  <si>
    <t>Davi Rezende da Silva</t>
  </si>
  <si>
    <t>11 95550-7171</t>
  </si>
  <si>
    <t>Guilherme Vitor Sales dos Santos Silva Sá</t>
  </si>
  <si>
    <t>61 9513-8310</t>
  </si>
  <si>
    <t>JULIA MARIA SOUTO SOUZA DE LIMA</t>
  </si>
  <si>
    <t xml:space="preserve">1X/DIA </t>
  </si>
  <si>
    <t>INTENSIFICAÇÃO</t>
  </si>
  <si>
    <t>Karina Rosa Pereira Costa</t>
  </si>
  <si>
    <t>11 94960-6162</t>
  </si>
  <si>
    <t>READMISSÃO</t>
  </si>
  <si>
    <t xml:space="preserve"> DALVA BARBOSA LOPES</t>
  </si>
  <si>
    <t>OMINT</t>
  </si>
  <si>
    <t>LOURINETE BERNARDES DA SILVA</t>
  </si>
  <si>
    <t>RIBEIRÃO PRETO</t>
  </si>
  <si>
    <t>André Gibran Di Nardo</t>
  </si>
  <si>
    <t>16 99757-9793</t>
  </si>
  <si>
    <t>Maris Tatiane da Silva de Abreu</t>
  </si>
  <si>
    <t>11 91770-7760</t>
  </si>
  <si>
    <t>LUCIANA SHEILA CARDOZO</t>
  </si>
  <si>
    <t>Lais Cristina Aguir Azevedo</t>
  </si>
  <si>
    <t>11 98875-5618</t>
  </si>
  <si>
    <t>LUIZ BEDORE</t>
  </si>
  <si>
    <t>Juliana Donadelli Marcantonio</t>
  </si>
  <si>
    <t>11 97392-3101</t>
  </si>
  <si>
    <t xml:space="preserve">LUIS ARMANDO CERDA KATTAN </t>
  </si>
  <si>
    <t>UNIMED SEGUROS</t>
  </si>
  <si>
    <t>Jean Carlo Frederico Medeiros</t>
  </si>
  <si>
    <t>11 98181-9455</t>
  </si>
  <si>
    <t>HEITOR LUIZ NUNES PADILHA</t>
  </si>
  <si>
    <t xml:space="preserve"> SANTO ANDRÉ</t>
  </si>
  <si>
    <t>Aguinaldo de Souza Moschin</t>
  </si>
  <si>
    <t>11 96594-5749</t>
  </si>
  <si>
    <t>MARIANA CAVALCANTE SILVA</t>
  </si>
  <si>
    <t>SÃO BERANRDO DO CAMPO</t>
  </si>
  <si>
    <t>Giovanna Inacio Biondo</t>
  </si>
  <si>
    <t>11 97671-9791</t>
  </si>
  <si>
    <t>Ligia Cristhina Ramos</t>
  </si>
  <si>
    <t>11 94572-1557</t>
  </si>
  <si>
    <t xml:space="preserve">MARIA JOSE DOS SANTOS </t>
  </si>
  <si>
    <t xml:space="preserve"> Heloisa Santos da Silva</t>
  </si>
  <si>
    <t>11 98890-2517</t>
  </si>
  <si>
    <t>Jéssica França Mira Guerreiro</t>
  </si>
  <si>
    <t>11 98217-0317</t>
  </si>
  <si>
    <t>OLINDA MARQUES COSTA</t>
  </si>
  <si>
    <t>SAO PAULO</t>
  </si>
  <si>
    <t>Amanda Catanzaro</t>
  </si>
  <si>
    <t>Fabricio da Silva Carvalho</t>
  </si>
  <si>
    <t xml:space="preserve"> 11 98762-6726</t>
  </si>
  <si>
    <t>11 94850-1419</t>
  </si>
  <si>
    <t>OLGA PIERETI MARTINS</t>
  </si>
  <si>
    <t xml:space="preserve">LUIZ AUGUSTO RODRIGUES DA CUNHA </t>
  </si>
  <si>
    <t xml:space="preserve">Mayara Sousa de Almeida </t>
  </si>
  <si>
    <t>11 95877-0362</t>
  </si>
  <si>
    <t>Claudia da Conceição da Silva</t>
  </si>
  <si>
    <t>11 98489-5072</t>
  </si>
  <si>
    <t>TOKIO NAKAHATA</t>
  </si>
  <si>
    <t>JUNDIAI</t>
  </si>
  <si>
    <t>Camila Rogéria Esparrachiari</t>
  </si>
  <si>
    <t>11 96173-7391</t>
  </si>
  <si>
    <t>Andreza Guimarães</t>
  </si>
  <si>
    <t>11 97365-7572</t>
  </si>
  <si>
    <t xml:space="preserve"> SHIGUENORI FUKUYOSHI S. F</t>
  </si>
  <si>
    <t>SÃO BERNARDO DO CAMPO</t>
  </si>
  <si>
    <t>TERESA APARECIDA RAICA</t>
  </si>
  <si>
    <t>ROSA PINHEIRO GONZALEZ</t>
  </si>
  <si>
    <t>Thayna Claudio Vasconcelos</t>
  </si>
  <si>
    <t>11 99937-2101</t>
  </si>
  <si>
    <t>Juliane Donadelli Marcantonio</t>
  </si>
  <si>
    <t> 11 97392-3101</t>
  </si>
  <si>
    <t>SELMA DE NAZARETH SIQUEIRA DE CARVALHO</t>
  </si>
  <si>
    <t>Sara de Souza</t>
  </si>
  <si>
    <t>11 99757-4961</t>
  </si>
  <si>
    <t>FP</t>
  </si>
  <si>
    <t>DENY DE NATALE</t>
  </si>
  <si>
    <t>Thayná Claudio Vasconcelos</t>
  </si>
  <si>
    <t>30 ok</t>
  </si>
  <si>
    <t>CLAUDETTE HAAKE MULLER</t>
  </si>
  <si>
    <t>ITU</t>
  </si>
  <si>
    <t>Tatiana Di Foggi Bertone Plastino</t>
  </si>
  <si>
    <t>11 95849-9990</t>
  </si>
  <si>
    <t>4 ok</t>
  </si>
  <si>
    <t>11 ok</t>
  </si>
  <si>
    <t>ALTA TOTAL</t>
  </si>
  <si>
    <t>não teve</t>
  </si>
  <si>
    <t>GHAITH HUSSEIN</t>
  </si>
  <si>
    <t>PARTICULAR</t>
  </si>
  <si>
    <t>SANTO ANDRE</t>
  </si>
  <si>
    <t>5 ok</t>
  </si>
  <si>
    <t>Newton Baldan</t>
  </si>
  <si>
    <t>11 95569-1576</t>
  </si>
  <si>
    <t>AVALIAÇÃO</t>
  </si>
  <si>
    <t>OVD</t>
  </si>
  <si>
    <t>enviar dia 03</t>
  </si>
  <si>
    <t>OK</t>
  </si>
  <si>
    <t>9 ok</t>
  </si>
  <si>
    <t>KLAUDIO FARAC</t>
  </si>
  <si>
    <t>PETROBRAS</t>
  </si>
  <si>
    <t>31ok</t>
  </si>
  <si>
    <t>9ok</t>
  </si>
  <si>
    <t>5ok</t>
  </si>
  <si>
    <t>12 ok</t>
  </si>
  <si>
    <t>enviar dia 02</t>
  </si>
  <si>
    <t>13 ok</t>
  </si>
  <si>
    <t>15 ok</t>
  </si>
  <si>
    <t>MARIA BONOMETTI VILAN</t>
  </si>
  <si>
    <t>14 ok</t>
  </si>
  <si>
    <t>DOMINGAS PEREIRA BARROS</t>
  </si>
  <si>
    <t>11 98217-0317</t>
  </si>
  <si>
    <t>Mariana Tâmires Bertolla</t>
  </si>
  <si>
    <t>11 98777-7498</t>
  </si>
  <si>
    <t>0ok</t>
  </si>
  <si>
    <t>NILZA ALVES MENDONÇA DA CRUZ</t>
  </si>
  <si>
    <t>OSASCO</t>
  </si>
  <si>
    <t>Katia Ferreira de Lima Silva</t>
  </si>
  <si>
    <t>28 ok</t>
  </si>
  <si>
    <t>enviar dia 01</t>
  </si>
  <si>
    <t>8 ok</t>
  </si>
  <si>
    <t>ALEXANDRE SARON</t>
  </si>
  <si>
    <t>JULIANA VANESSA DE O. COHEN RIBEIRO</t>
  </si>
  <si>
    <t>MARIA BONOMETTI</t>
  </si>
  <si>
    <t>11 99618-6649</t>
  </si>
  <si>
    <t>Priscila Laudiceia da Silva</t>
  </si>
  <si>
    <t>11 95702-7609</t>
  </si>
  <si>
    <t>6 ok</t>
  </si>
  <si>
    <t>Alessandra Mattiuzzo</t>
  </si>
  <si>
    <t>11 91216-0291</t>
  </si>
  <si>
    <t>OSWALDO BAPTISTELA</t>
  </si>
  <si>
    <t>MARIA BONOMETTI VILLAN</t>
  </si>
  <si>
    <t>3 ok</t>
  </si>
  <si>
    <t>REGINA CELI COSTA NASCIMENTO COELHO</t>
  </si>
  <si>
    <t>Gabriela Stefano Pereira</t>
  </si>
  <si>
    <t xml:space="preserve"> 11 98738-0837</t>
  </si>
  <si>
    <t>11ok</t>
  </si>
  <si>
    <t>21 ok</t>
  </si>
  <si>
    <t>NILZA MENDONÇA DA CRUZ</t>
  </si>
  <si>
    <t>2 ok</t>
  </si>
  <si>
    <t>NILSON XAVIER SOARES</t>
  </si>
  <si>
    <t>Eduardo Barbosa Nunes</t>
  </si>
  <si>
    <t>11 99226-3774</t>
  </si>
  <si>
    <t>WALTER FERREIRA</t>
  </si>
  <si>
    <t>Rosana Maria Gomes</t>
  </si>
  <si>
    <t>11 96267-2750</t>
  </si>
  <si>
    <t>1 ok</t>
  </si>
  <si>
    <t>10ok</t>
  </si>
  <si>
    <t>DALVA DE PAULA</t>
  </si>
  <si>
    <t> 11 99937-2101</t>
  </si>
  <si>
    <t>HIROSHI SHIKASHO</t>
  </si>
  <si>
    <t>Sandra Pinheiro</t>
  </si>
  <si>
    <t>(11)98167-5126</t>
  </si>
  <si>
    <t>11 97751-7876</t>
  </si>
  <si>
    <t>PONTUAL</t>
  </si>
  <si>
    <t>17ok</t>
  </si>
  <si>
    <t xml:space="preserve">SATIKO MORI </t>
  </si>
  <si>
    <t>ITAUSEG</t>
  </si>
  <si>
    <t>11 98738-0837</t>
  </si>
  <si>
    <t>Fabiana de Fatima Toledo Viveiros </t>
  </si>
  <si>
    <t>11 95464-9333</t>
  </si>
  <si>
    <t>13ok</t>
  </si>
  <si>
    <t>LUIZA CASERTA SCATENA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</si>
</sst>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7">
    <font>
      <sz val="10.0"/>
      <color rgb="FF000000"/>
      <name val="Arial"/>
      <scheme val="minor"/>
    </font>
    <font>
      <b/>
      <sz val="13.0"/>
      <color rgb="FFFFFFFF"/>
      <name val="Calibri"/>
    </font>
    <font>
      <b/>
      <sz val="14.0"/>
      <color rgb="FFFFFFFF"/>
      <name val="Calibri"/>
    </font>
    <font>
      <b/>
      <sz val="12.0"/>
      <color rgb="FFFFFFFF"/>
      <name val="Calibri"/>
    </font>
    <font>
      <b/>
      <sz val="10.0"/>
      <color theme="1"/>
      <name val="Calibri"/>
    </font>
    <font>
      <sz val="11.0"/>
      <color theme="1"/>
      <name val="Calibri"/>
    </font>
    <font>
      <b/>
      <sz val="11.0"/>
      <color theme="1"/>
      <name val="Calibri"/>
    </font>
    <font>
      <color theme="1"/>
      <name val="Arial"/>
      <scheme val="minor"/>
    </font>
    <font>
      <sz val="11.0"/>
      <color rgb="FF000000"/>
      <name val="Calibri"/>
    </font>
    <font>
      <b/>
      <sz val="12.0"/>
      <color theme="1"/>
      <name val="Calibri"/>
    </font>
    <font>
      <b/>
      <sz val="10.0"/>
      <color rgb="FFFFFFFF"/>
      <name val="Calibri"/>
    </font>
    <font>
      <sz val="11.0"/>
      <color theme="1"/>
      <name val="&quot;Calibri&quot;"/>
    </font>
    <font>
      <sz val="12.0"/>
      <color rgb="FF242424"/>
      <name val="&quot;Calibri&quot;"/>
    </font>
    <font>
      <b/>
      <sz val="10.0"/>
      <color rgb="FF000000"/>
      <name val="Calibri"/>
    </font>
    <font>
      <b/>
      <color theme="1"/>
      <name val="Calibri"/>
    </font>
    <font>
      <color theme="1"/>
      <name val="Arial"/>
    </font>
    <font>
      <b/>
      <sz val="11.0"/>
      <color rgb="FFFFFFFF"/>
      <name val="Calibri"/>
    </font>
    <font>
      <b/>
      <sz val="11.0"/>
      <color rgb="FF000000"/>
      <name val="Calibri"/>
    </font>
    <font>
      <color rgb="FF000000"/>
      <name val="Arial"/>
      <scheme val="minor"/>
    </font>
    <font>
      <sz val="11.0"/>
      <color rgb="FFFFFFFF"/>
      <name val="Calibri"/>
    </font>
    <font>
      <sz val="11.0"/>
      <color rgb="FF242424"/>
      <name val="Calibri"/>
    </font>
    <font>
      <sz val="12.0"/>
      <color rgb="FF242424"/>
      <name val="Calibri"/>
    </font>
    <font>
      <color rgb="FF000000"/>
      <name val="Calibri"/>
    </font>
    <font>
      <sz val="12.0"/>
      <color rgb="FF000000"/>
      <name val="Calibri"/>
    </font>
    <font>
      <sz val="12.0"/>
      <color rgb="FF000000"/>
      <name val="&quot;Calibri&quot;"/>
    </font>
    <font>
      <color theme="1"/>
      <name val="Calibri"/>
    </font>
    <font>
      <color rgb="FFFF0000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339966"/>
        <bgColor rgb="FF339966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9900FF"/>
        <bgColor rgb="FF9900FF"/>
      </patternFill>
    </fill>
    <fill>
      <patternFill patternType="solid">
        <fgColor rgb="FFF3F3F3"/>
        <bgColor rgb="FFF3F3F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1" fillId="2" fontId="2" numFmtId="0" xfId="0" applyAlignment="1" applyBorder="1" applyFont="1">
      <alignment horizontal="center" vertical="bottom"/>
    </xf>
    <xf borderId="1" fillId="2" fontId="3" numFmtId="0" xfId="0" applyAlignment="1" applyBorder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2" fontId="2" numFmtId="0" xfId="0" applyAlignment="1" applyFont="1">
      <alignment horizontal="center" readingOrder="0" vertical="bottom"/>
    </xf>
    <xf borderId="1" fillId="3" fontId="4" numFmtId="0" xfId="0" applyAlignment="1" applyBorder="1" applyFill="1" applyFont="1">
      <alignment horizontal="center" vertical="bottom"/>
    </xf>
    <xf borderId="1" fillId="4" fontId="5" numFmtId="0" xfId="0" applyAlignment="1" applyBorder="1" applyFill="1" applyFont="1">
      <alignment horizontal="center" readingOrder="0"/>
    </xf>
    <xf borderId="1" fillId="5" fontId="6" numFmtId="0" xfId="0" applyAlignment="1" applyBorder="1" applyFill="1" applyFont="1">
      <alignment horizontal="center" readingOrder="0"/>
    </xf>
    <xf borderId="1" fillId="4" fontId="4" numFmtId="49" xfId="0" applyAlignment="1" applyBorder="1" applyFont="1" applyNumberFormat="1">
      <alignment horizontal="center" readingOrder="0" vertical="bottom"/>
    </xf>
    <xf borderId="2" fillId="4" fontId="4" numFmtId="49" xfId="0" applyAlignment="1" applyBorder="1" applyFont="1" applyNumberFormat="1">
      <alignment horizontal="center" readingOrder="0" vertical="bottom"/>
    </xf>
    <xf borderId="1" fillId="4" fontId="5" numFmtId="164" xfId="0" applyAlignment="1" applyBorder="1" applyFont="1" applyNumberFormat="1">
      <alignment horizontal="center" readingOrder="0"/>
    </xf>
    <xf borderId="1" fillId="4" fontId="5" numFmtId="0" xfId="0" applyAlignment="1" applyBorder="1" applyFont="1">
      <alignment horizontal="center" vertical="bottom"/>
    </xf>
    <xf borderId="1" fillId="4" fontId="5" numFmtId="0" xfId="0" applyAlignment="1" applyBorder="1" applyFont="1">
      <alignment horizontal="center" readingOrder="0" vertical="bottom"/>
    </xf>
    <xf borderId="2" fillId="4" fontId="5" numFmtId="49" xfId="0" applyAlignment="1" applyBorder="1" applyFont="1" applyNumberFormat="1">
      <alignment horizontal="center" readingOrder="0" vertical="bottom"/>
    </xf>
    <xf borderId="1" fillId="6" fontId="7" numFmtId="0" xfId="0" applyBorder="1" applyFill="1" applyFont="1"/>
    <xf borderId="1" fillId="4" fontId="7" numFmtId="0" xfId="0" applyBorder="1" applyFont="1"/>
    <xf borderId="1" fillId="7" fontId="7" numFmtId="0" xfId="0" applyBorder="1" applyFill="1" applyFont="1"/>
    <xf borderId="1" fillId="4" fontId="7" numFmtId="0" xfId="0" applyAlignment="1" applyBorder="1" applyFont="1">
      <alignment readingOrder="0"/>
    </xf>
    <xf borderId="1" fillId="0" fontId="4" numFmtId="49" xfId="0" applyAlignment="1" applyBorder="1" applyFont="1" applyNumberFormat="1">
      <alignment horizontal="center" readingOrder="0" vertical="bottom"/>
    </xf>
    <xf borderId="1" fillId="6" fontId="7" numFmtId="0" xfId="0" applyAlignment="1" applyBorder="1" applyFont="1">
      <alignment readingOrder="0"/>
    </xf>
    <xf borderId="2" fillId="0" fontId="4" numFmtId="49" xfId="0" applyAlignment="1" applyBorder="1" applyFont="1" applyNumberFormat="1">
      <alignment horizontal="center" readingOrder="0" vertical="bottom"/>
    </xf>
    <xf borderId="1" fillId="7" fontId="7" numFmtId="0" xfId="0" applyAlignment="1" applyBorder="1" applyFont="1">
      <alignment readingOrder="0"/>
    </xf>
    <xf borderId="1" fillId="0" fontId="5" numFmtId="164" xfId="0" applyAlignment="1" applyBorder="1" applyFont="1" applyNumberFormat="1">
      <alignment horizontal="center" readingOrder="0"/>
    </xf>
    <xf borderId="1" fillId="0" fontId="5" numFmtId="0" xfId="0" applyAlignment="1" applyBorder="1" applyFont="1">
      <alignment horizontal="center" readingOrder="0"/>
    </xf>
    <xf borderId="2" fillId="0" fontId="5" numFmtId="49" xfId="0" applyAlignment="1" applyBorder="1" applyFont="1" applyNumberFormat="1">
      <alignment horizontal="center" readingOrder="0" vertical="bottom"/>
    </xf>
    <xf borderId="1" fillId="6" fontId="5" numFmtId="0" xfId="0" applyAlignment="1" applyBorder="1" applyFont="1">
      <alignment horizontal="center"/>
    </xf>
    <xf borderId="1" fillId="4" fontId="6" numFmtId="49" xfId="0" applyAlignment="1" applyBorder="1" applyFont="1" applyNumberFormat="1">
      <alignment horizontal="center" readingOrder="0" vertical="center"/>
    </xf>
    <xf borderId="0" fillId="4" fontId="6" numFmtId="49" xfId="0" applyAlignment="1" applyFont="1" applyNumberFormat="1">
      <alignment horizontal="center" vertical="center"/>
    </xf>
    <xf borderId="1" fillId="0" fontId="5" numFmtId="0" xfId="0" applyAlignment="1" applyBorder="1" applyFont="1">
      <alignment horizontal="center"/>
    </xf>
    <xf borderId="1" fillId="8" fontId="4" numFmtId="49" xfId="0" applyAlignment="1" applyBorder="1" applyFill="1" applyFont="1" applyNumberFormat="1">
      <alignment horizontal="center" vertical="bottom"/>
    </xf>
    <xf borderId="1" fillId="4" fontId="6" numFmtId="49" xfId="0" applyAlignment="1" applyBorder="1" applyFont="1" applyNumberFormat="1">
      <alignment horizontal="center" vertical="center"/>
    </xf>
    <xf borderId="0" fillId="4" fontId="6" numFmtId="49" xfId="0" applyAlignment="1" applyFont="1" applyNumberFormat="1">
      <alignment horizontal="center" readingOrder="0" vertical="center"/>
    </xf>
    <xf borderId="3" fillId="4" fontId="8" numFmtId="0" xfId="0" applyAlignment="1" applyBorder="1" applyFont="1">
      <alignment horizontal="center" readingOrder="0"/>
    </xf>
    <xf borderId="1" fillId="8" fontId="5" numFmtId="0" xfId="0" applyAlignment="1" applyBorder="1" applyFont="1">
      <alignment horizontal="center" vertical="bottom"/>
    </xf>
    <xf borderId="1" fillId="8" fontId="5" numFmtId="0" xfId="0" applyAlignment="1" applyBorder="1" applyFont="1">
      <alignment horizontal="center" readingOrder="0"/>
    </xf>
    <xf borderId="1" fillId="4" fontId="9" numFmtId="49" xfId="0" applyAlignment="1" applyBorder="1" applyFont="1" applyNumberFormat="1">
      <alignment horizontal="center" vertical="center"/>
    </xf>
    <xf borderId="1" fillId="9" fontId="10" numFmtId="0" xfId="0" applyAlignment="1" applyBorder="1" applyFill="1" applyFont="1">
      <alignment horizontal="center" vertical="bottom"/>
    </xf>
    <xf borderId="1" fillId="8" fontId="11" numFmtId="0" xfId="0" applyAlignment="1" applyBorder="1" applyFont="1">
      <alignment horizontal="center" readingOrder="0"/>
    </xf>
    <xf borderId="0" fillId="8" fontId="12" numFmtId="0" xfId="0" applyAlignment="1" applyFont="1">
      <alignment horizontal="center" readingOrder="0"/>
    </xf>
    <xf borderId="1" fillId="0" fontId="5" numFmtId="49" xfId="0" applyAlignment="1" applyBorder="1" applyFont="1" applyNumberFormat="1">
      <alignment horizontal="center" readingOrder="0" vertical="bottom"/>
    </xf>
    <xf borderId="1" fillId="5" fontId="13" numFmtId="0" xfId="0" applyAlignment="1" applyBorder="1" applyFont="1">
      <alignment horizontal="center" readingOrder="0" vertical="bottom"/>
    </xf>
    <xf borderId="1" fillId="8" fontId="5" numFmtId="0" xfId="0" applyAlignment="1" applyBorder="1" applyFont="1">
      <alignment horizontal="center" readingOrder="0" vertical="bottom"/>
    </xf>
    <xf borderId="3" fillId="5" fontId="13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vertical="bottom"/>
    </xf>
    <xf borderId="0" fillId="0" fontId="11" numFmtId="0" xfId="0" applyAlignment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0" fillId="0" fontId="14" numFmtId="49" xfId="0" applyAlignment="1" applyFont="1" applyNumberFormat="1">
      <alignment horizontal="center" vertical="bottom"/>
    </xf>
    <xf borderId="0" fillId="0" fontId="15" numFmtId="0" xfId="0" applyAlignment="1" applyFont="1">
      <alignment vertical="bottom"/>
    </xf>
    <xf borderId="0" fillId="4" fontId="4" numFmtId="49" xfId="0" applyAlignment="1" applyFont="1" applyNumberFormat="1">
      <alignment horizontal="center" vertical="bottom"/>
    </xf>
    <xf borderId="4" fillId="4" fontId="8" numFmtId="0" xfId="0" applyAlignment="1" applyBorder="1" applyFont="1">
      <alignment horizontal="center" readingOrder="0"/>
    </xf>
    <xf borderId="1" fillId="0" fontId="7" numFmtId="0" xfId="0" applyAlignment="1" applyBorder="1" applyFont="1">
      <alignment readingOrder="0"/>
    </xf>
    <xf borderId="1" fillId="0" fontId="7" numFmtId="0" xfId="0" applyBorder="1" applyFont="1"/>
    <xf borderId="1" fillId="4" fontId="16" numFmtId="0" xfId="0" applyAlignment="1" applyBorder="1" applyFont="1">
      <alignment horizontal="center" readingOrder="0"/>
    </xf>
    <xf borderId="1" fillId="5" fontId="7" numFmtId="0" xfId="0" applyBorder="1" applyFont="1"/>
    <xf borderId="0" fillId="4" fontId="13" numFmtId="0" xfId="0" applyAlignment="1" applyFont="1">
      <alignment horizontal="center" readingOrder="0" vertical="bottom"/>
    </xf>
    <xf borderId="1" fillId="5" fontId="7" numFmtId="0" xfId="0" applyAlignment="1" applyBorder="1" applyFont="1">
      <alignment readingOrder="0"/>
    </xf>
    <xf borderId="1" fillId="4" fontId="8" numFmtId="0" xfId="0" applyAlignment="1" applyBorder="1" applyFont="1">
      <alignment horizontal="center" readingOrder="0"/>
    </xf>
    <xf borderId="5" fillId="5" fontId="17" numFmtId="0" xfId="0" applyAlignment="1" applyBorder="1" applyFont="1">
      <alignment horizontal="center" readingOrder="0"/>
    </xf>
    <xf borderId="1" fillId="6" fontId="16" numFmtId="0" xfId="0" applyAlignment="1" applyBorder="1" applyFont="1">
      <alignment horizontal="center" readingOrder="0"/>
    </xf>
    <xf borderId="5" fillId="4" fontId="4" numFmtId="49" xfId="0" applyAlignment="1" applyBorder="1" applyFont="1" applyNumberFormat="1">
      <alignment horizontal="center" readingOrder="0" vertical="bottom"/>
    </xf>
    <xf borderId="1" fillId="5" fontId="16" numFmtId="0" xfId="0" applyAlignment="1" applyBorder="1" applyFont="1">
      <alignment horizontal="center" readingOrder="0"/>
    </xf>
    <xf borderId="1" fillId="10" fontId="7" numFmtId="0" xfId="0" applyAlignment="1" applyBorder="1" applyFill="1" applyFont="1">
      <alignment readingOrder="0"/>
    </xf>
    <xf borderId="1" fillId="3" fontId="7" numFmtId="0" xfId="0" applyBorder="1" applyFont="1"/>
    <xf borderId="1" fillId="10" fontId="7" numFmtId="0" xfId="0" applyBorder="1" applyFont="1"/>
    <xf borderId="2" fillId="4" fontId="8" numFmtId="0" xfId="0" applyAlignment="1" applyBorder="1" applyFont="1">
      <alignment horizontal="center" readingOrder="0"/>
    </xf>
    <xf borderId="1" fillId="4" fontId="18" numFmtId="0" xfId="0" applyAlignment="1" applyBorder="1" applyFont="1">
      <alignment readingOrder="0"/>
    </xf>
    <xf borderId="1" fillId="3" fontId="16" numFmtId="0" xfId="0" applyAlignment="1" applyBorder="1" applyFont="1">
      <alignment horizontal="center" readingOrder="0"/>
    </xf>
    <xf borderId="6" fillId="4" fontId="8" numFmtId="0" xfId="0" applyAlignment="1" applyBorder="1" applyFont="1">
      <alignment horizontal="center" readingOrder="0"/>
    </xf>
    <xf borderId="1" fillId="4" fontId="17" numFmtId="0" xfId="0" applyAlignment="1" applyBorder="1" applyFont="1">
      <alignment horizontal="center" readingOrder="0"/>
    </xf>
    <xf borderId="1" fillId="10" fontId="18" numFmtId="0" xfId="0" applyAlignment="1" applyBorder="1" applyFont="1">
      <alignment readingOrder="0"/>
    </xf>
    <xf borderId="5" fillId="4" fontId="5" numFmtId="0" xfId="0" applyAlignment="1" applyBorder="1" applyFont="1">
      <alignment horizontal="center" readingOrder="0"/>
    </xf>
    <xf borderId="1" fillId="10" fontId="16" numFmtId="0" xfId="0" applyAlignment="1" applyBorder="1" applyFont="1">
      <alignment horizontal="center" readingOrder="0"/>
    </xf>
    <xf borderId="1" fillId="9" fontId="10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horizontal="center" readingOrder="0" vertical="bottom"/>
    </xf>
    <xf borderId="0" fillId="4" fontId="6" numFmtId="0" xfId="0" applyAlignment="1" applyFont="1">
      <alignment horizontal="center" readingOrder="0"/>
    </xf>
    <xf borderId="1" fillId="4" fontId="19" numFmtId="0" xfId="0" applyAlignment="1" applyBorder="1" applyFont="1">
      <alignment horizontal="center" readingOrder="0"/>
    </xf>
    <xf borderId="0" fillId="0" fontId="12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1" fillId="0" fontId="20" numFmtId="0" xfId="0" applyAlignment="1" applyBorder="1" applyFont="1">
      <alignment horizontal="center" readingOrder="0"/>
    </xf>
    <xf borderId="1" fillId="4" fontId="6" numFmtId="0" xfId="0" applyAlignment="1" applyBorder="1" applyFont="1">
      <alignment horizontal="center" readingOrder="0"/>
    </xf>
    <xf borderId="1" fillId="8" fontId="12" numFmtId="0" xfId="0" applyAlignment="1" applyBorder="1" applyFont="1">
      <alignment horizontal="center" readingOrder="0"/>
    </xf>
    <xf borderId="1" fillId="3" fontId="7" numFmtId="0" xfId="0" applyAlignment="1" applyBorder="1" applyFont="1">
      <alignment readingOrder="0"/>
    </xf>
    <xf borderId="1" fillId="3" fontId="6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 readingOrder="0"/>
    </xf>
    <xf borderId="1" fillId="6" fontId="6" numFmtId="0" xfId="0" applyAlignment="1" applyBorder="1" applyFont="1">
      <alignment horizontal="center" readingOrder="0"/>
    </xf>
    <xf borderId="1" fillId="5" fontId="17" numFmtId="0" xfId="0" applyAlignment="1" applyBorder="1" applyFont="1">
      <alignment horizontal="center" readingOrder="0"/>
    </xf>
    <xf borderId="1" fillId="8" fontId="13" numFmtId="49" xfId="0" applyAlignment="1" applyBorder="1" applyFont="1" applyNumberFormat="1">
      <alignment horizontal="center" vertical="bottom"/>
    </xf>
    <xf borderId="1" fillId="0" fontId="13" numFmtId="49" xfId="0" applyAlignment="1" applyBorder="1" applyFont="1" applyNumberFormat="1">
      <alignment horizontal="center" readingOrder="0" vertical="bottom"/>
    </xf>
    <xf borderId="2" fillId="4" fontId="13" numFmtId="49" xfId="0" applyAlignment="1" applyBorder="1" applyFont="1" applyNumberFormat="1">
      <alignment horizontal="center" readingOrder="0" vertical="bottom"/>
    </xf>
    <xf borderId="1" fillId="0" fontId="8" numFmtId="164" xfId="0" applyAlignment="1" applyBorder="1" applyFont="1" applyNumberFormat="1">
      <alignment horizontal="center" readingOrder="0"/>
    </xf>
    <xf borderId="1" fillId="4" fontId="8" numFmtId="0" xfId="0" applyAlignment="1" applyBorder="1" applyFont="1">
      <alignment horizontal="center" readingOrder="0" vertical="bottom"/>
    </xf>
    <xf borderId="2" fillId="0" fontId="8" numFmtId="49" xfId="0" applyAlignment="1" applyBorder="1" applyFont="1" applyNumberFormat="1">
      <alignment horizontal="center" readingOrder="0" vertical="bottom"/>
    </xf>
    <xf borderId="1" fillId="4" fontId="17" numFmtId="49" xfId="0" applyAlignment="1" applyBorder="1" applyFont="1" applyNumberFormat="1">
      <alignment horizontal="center" vertical="center"/>
    </xf>
    <xf borderId="0" fillId="4" fontId="17" numFmtId="49" xfId="0" applyAlignment="1" applyFont="1" applyNumberFormat="1">
      <alignment horizontal="center" readingOrder="0" vertical="center"/>
    </xf>
    <xf borderId="1" fillId="3" fontId="13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readingOrder="0"/>
    </xf>
    <xf borderId="1" fillId="4" fontId="21" numFmtId="0" xfId="0" applyAlignment="1" applyBorder="1" applyFont="1">
      <alignment horizontal="center" readingOrder="0"/>
    </xf>
    <xf borderId="1" fillId="10" fontId="18" numFmtId="0" xfId="0" applyBorder="1" applyFont="1"/>
    <xf borderId="1" fillId="4" fontId="18" numFmtId="0" xfId="0" applyBorder="1" applyFont="1"/>
    <xf borderId="1" fillId="9" fontId="13" numFmtId="0" xfId="0" applyAlignment="1" applyBorder="1" applyFont="1">
      <alignment horizontal="center" readingOrder="0" vertical="bottom"/>
    </xf>
    <xf borderId="0" fillId="0" fontId="17" numFmtId="49" xfId="0" applyAlignment="1" applyFont="1" applyNumberFormat="1">
      <alignment horizontal="center" readingOrder="0" vertical="center"/>
    </xf>
    <xf borderId="3" fillId="3" fontId="16" numFmtId="0" xfId="0" applyAlignment="1" applyBorder="1" applyFont="1">
      <alignment horizontal="center" readingOrder="0"/>
    </xf>
    <xf borderId="1" fillId="4" fontId="13" numFmtId="49" xfId="0" applyAlignment="1" applyBorder="1" applyFont="1" applyNumberFormat="1">
      <alignment horizontal="center" readingOrder="0" vertical="bottom"/>
    </xf>
    <xf borderId="3" fillId="4" fontId="16" numFmtId="0" xfId="0" applyAlignment="1" applyBorder="1" applyFont="1">
      <alignment horizontal="center" readingOrder="0"/>
    </xf>
    <xf borderId="1" fillId="4" fontId="8" numFmtId="164" xfId="0" applyAlignment="1" applyBorder="1" applyFont="1" applyNumberFormat="1">
      <alignment horizontal="center" readingOrder="0"/>
    </xf>
    <xf borderId="2" fillId="4" fontId="8" numFmtId="49" xfId="0" applyAlignment="1" applyBorder="1" applyFont="1" applyNumberFormat="1">
      <alignment horizontal="center" readingOrder="0" vertical="bottom"/>
    </xf>
    <xf borderId="1" fillId="5" fontId="18" numFmtId="0" xfId="0" applyAlignment="1" applyBorder="1" applyFont="1">
      <alignment readingOrder="0"/>
    </xf>
    <xf borderId="1" fillId="5" fontId="8" numFmtId="0" xfId="0" applyAlignment="1" applyBorder="1" applyFont="1">
      <alignment horizontal="center" readingOrder="0"/>
    </xf>
    <xf borderId="1" fillId="3" fontId="18" numFmtId="0" xfId="0" applyAlignment="1" applyBorder="1" applyFont="1">
      <alignment readingOrder="0"/>
    </xf>
    <xf borderId="1" fillId="5" fontId="17" numFmtId="49" xfId="0" applyAlignment="1" applyBorder="1" applyFont="1" applyNumberFormat="1">
      <alignment horizontal="center" vertical="center"/>
    </xf>
    <xf borderId="0" fillId="2" fontId="3" numFmtId="0" xfId="0" applyAlignment="1" applyFont="1">
      <alignment horizontal="center" readingOrder="0" vertical="bottom"/>
    </xf>
    <xf borderId="0" fillId="8" fontId="8" numFmtId="0" xfId="0" applyAlignment="1" applyFont="1">
      <alignment horizontal="center" readingOrder="0"/>
    </xf>
    <xf borderId="1" fillId="2" fontId="3" numFmtId="0" xfId="0" applyAlignment="1" applyBorder="1" applyFont="1">
      <alignment horizontal="center" readingOrder="0" vertical="bottom"/>
    </xf>
    <xf borderId="1" fillId="0" fontId="8" numFmtId="0" xfId="0" applyAlignment="1" applyBorder="1" applyFont="1">
      <alignment horizontal="center" vertical="bottom"/>
    </xf>
    <xf borderId="1" fillId="10" fontId="8" numFmtId="0" xfId="0" applyAlignment="1" applyBorder="1" applyFont="1">
      <alignment horizontal="center" readingOrder="0"/>
    </xf>
    <xf borderId="1" fillId="10" fontId="17" numFmtId="0" xfId="0" applyAlignment="1" applyBorder="1" applyFont="1">
      <alignment horizontal="center" readingOrder="0"/>
    </xf>
    <xf borderId="7" fillId="4" fontId="13" numFmtId="0" xfId="0" applyAlignment="1" applyBorder="1" applyFont="1">
      <alignment horizontal="center" readingOrder="0" vertical="bottom"/>
    </xf>
    <xf borderId="1" fillId="5" fontId="14" numFmtId="49" xfId="0" applyAlignment="1" applyBorder="1" applyFont="1" applyNumberFormat="1">
      <alignment horizontal="center" vertical="bottom"/>
    </xf>
    <xf borderId="0" fillId="0" fontId="18" numFmtId="0" xfId="0" applyFont="1"/>
    <xf borderId="0" fillId="4" fontId="17" numFmtId="0" xfId="0" applyAlignment="1" applyFont="1">
      <alignment horizontal="center" readingOrder="0"/>
    </xf>
    <xf borderId="6" fillId="5" fontId="17" numFmtId="0" xfId="0" applyAlignment="1" applyBorder="1" applyFont="1">
      <alignment horizontal="center" readingOrder="0"/>
    </xf>
    <xf borderId="1" fillId="9" fontId="16" numFmtId="0" xfId="0" applyAlignment="1" applyBorder="1" applyFont="1">
      <alignment horizontal="center" readingOrder="0"/>
    </xf>
    <xf borderId="1" fillId="4" fontId="22" numFmtId="0" xfId="0" applyAlignment="1" applyBorder="1" applyFont="1">
      <alignment readingOrder="0"/>
    </xf>
    <xf borderId="0" fillId="4" fontId="23" numFmtId="0" xfId="0" applyAlignment="1" applyFont="1">
      <alignment horizontal="center" readingOrder="0"/>
    </xf>
    <xf borderId="1" fillId="4" fontId="8" numFmtId="0" xfId="0" applyAlignment="1" applyBorder="1" applyFont="1">
      <alignment horizontal="center" vertical="bottom"/>
    </xf>
    <xf borderId="1" fillId="4" fontId="8" numFmtId="0" xfId="0" applyAlignment="1" applyBorder="1" applyFont="1">
      <alignment horizontal="center" readingOrder="0"/>
    </xf>
    <xf borderId="1" fillId="0" fontId="17" numFmtId="49" xfId="0" applyAlignment="1" applyBorder="1" applyFont="1" applyNumberFormat="1">
      <alignment horizontal="center" readingOrder="0" vertical="center"/>
    </xf>
    <xf borderId="1" fillId="3" fontId="14" numFmtId="49" xfId="0" applyAlignment="1" applyBorder="1" applyFont="1" applyNumberFormat="1">
      <alignment horizontal="center" vertical="bottom"/>
    </xf>
    <xf borderId="1" fillId="4" fontId="21" numFmtId="0" xfId="0" applyAlignment="1" applyBorder="1" applyFont="1">
      <alignment horizontal="center" readingOrder="0"/>
    </xf>
    <xf borderId="1" fillId="4" fontId="5" numFmtId="0" xfId="0" applyAlignment="1" applyBorder="1" applyFont="1">
      <alignment horizontal="center"/>
    </xf>
    <xf borderId="1" fillId="0" fontId="24" numFmtId="0" xfId="0" applyAlignment="1" applyBorder="1" applyFont="1">
      <alignment horizontal="center" readingOrder="0"/>
    </xf>
    <xf borderId="1" fillId="9" fontId="14" numFmtId="49" xfId="0" applyAlignment="1" applyBorder="1" applyFont="1" applyNumberFormat="1">
      <alignment horizontal="center" vertical="bottom"/>
    </xf>
    <xf borderId="1" fillId="4" fontId="20" numFmtId="0" xfId="0" applyAlignment="1" applyBorder="1" applyFont="1">
      <alignment horizontal="center" readingOrder="0"/>
    </xf>
    <xf borderId="1" fillId="8" fontId="14" numFmtId="49" xfId="0" applyAlignment="1" applyBorder="1" applyFont="1" applyNumberFormat="1">
      <alignment horizontal="center" vertical="bottom"/>
    </xf>
    <xf borderId="1" fillId="4" fontId="23" numFmtId="0" xfId="0" applyAlignment="1" applyBorder="1" applyFont="1">
      <alignment horizontal="center" readingOrder="0"/>
    </xf>
    <xf borderId="1" fillId="0" fontId="8" numFmtId="0" xfId="0" applyAlignment="1" applyBorder="1" applyFont="1">
      <alignment horizontal="center" readingOrder="0" vertical="bottom"/>
    </xf>
    <xf borderId="0" fillId="0" fontId="25" numFmtId="0" xfId="0" applyFont="1"/>
    <xf borderId="1" fillId="6" fontId="5" numFmtId="0" xfId="0" applyAlignment="1" applyBorder="1" applyFont="1">
      <alignment horizontal="center" readingOrder="0"/>
    </xf>
    <xf borderId="1" fillId="5" fontId="18" numFmtId="0" xfId="0" applyBorder="1" applyFont="1"/>
    <xf borderId="1" fillId="4" fontId="17" numFmtId="49" xfId="0" applyAlignment="1" applyBorder="1" applyFont="1" applyNumberFormat="1">
      <alignment horizontal="center" readingOrder="0" vertical="center"/>
    </xf>
    <xf borderId="1" fillId="3" fontId="5" numFmtId="0" xfId="0" applyAlignment="1" applyBorder="1" applyFont="1">
      <alignment horizontal="center" readingOrder="0"/>
    </xf>
    <xf borderId="0" fillId="0" fontId="22" numFmtId="0" xfId="0" applyFont="1"/>
    <xf borderId="0" fillId="8" fontId="17" numFmtId="0" xfId="0" applyAlignment="1" applyFont="1">
      <alignment horizontal="center" readingOrder="0"/>
    </xf>
    <xf borderId="1" fillId="4" fontId="22" numFmtId="0" xfId="0" applyAlignment="1" applyBorder="1" applyFont="1">
      <alignment horizontal="center" readingOrder="0"/>
    </xf>
    <xf borderId="1" fillId="0" fontId="17" numFmtId="0" xfId="0" applyAlignment="1" applyBorder="1" applyFont="1">
      <alignment horizontal="center" readingOrder="0"/>
    </xf>
    <xf borderId="1" fillId="4" fontId="13" numFmtId="49" xfId="0" applyAlignment="1" applyBorder="1" applyFont="1" applyNumberFormat="1">
      <alignment horizontal="center" readingOrder="0" vertical="center"/>
    </xf>
    <xf borderId="1" fillId="10" fontId="5" numFmtId="0" xfId="0" applyAlignment="1" applyBorder="1" applyFont="1">
      <alignment horizontal="center" readingOrder="0"/>
    </xf>
    <xf borderId="1" fillId="4" fontId="8" numFmtId="0" xfId="0" applyAlignment="1" applyBorder="1" applyFont="1">
      <alignment horizontal="center" readingOrder="0"/>
    </xf>
    <xf borderId="1" fillId="10" fontId="5" numFmtId="0" xfId="0" applyAlignment="1" applyBorder="1" applyFont="1">
      <alignment horizontal="center"/>
    </xf>
    <xf borderId="1" fillId="8" fontId="8" numFmtId="0" xfId="0" applyAlignment="1" applyBorder="1" applyFont="1">
      <alignment horizontal="center" readingOrder="0"/>
    </xf>
    <xf borderId="0" fillId="0" fontId="17" numFmtId="0" xfId="0" applyAlignment="1" applyFont="1">
      <alignment horizontal="center" readingOrder="0"/>
    </xf>
    <xf borderId="1" fillId="8" fontId="8" numFmtId="0" xfId="0" applyAlignment="1" applyBorder="1" applyFont="1">
      <alignment horizontal="center" readingOrder="0"/>
    </xf>
    <xf borderId="1" fillId="3" fontId="8" numFmtId="0" xfId="0" applyAlignment="1" applyBorder="1" applyFont="1">
      <alignment horizontal="center" readingOrder="0"/>
    </xf>
    <xf borderId="0" fillId="0" fontId="25" numFmtId="0" xfId="0" applyAlignment="1" applyFont="1">
      <alignment horizontal="center"/>
    </xf>
    <xf borderId="0" fillId="4" fontId="25" numFmtId="0" xfId="0" applyAlignment="1" applyFont="1">
      <alignment horizontal="center"/>
    </xf>
    <xf borderId="0" fillId="4" fontId="8" numFmtId="0" xfId="0" applyAlignment="1" applyFont="1">
      <alignment horizontal="center" readingOrder="0"/>
    </xf>
    <xf borderId="0" fillId="8" fontId="8" numFmtId="0" xfId="0" applyAlignment="1" applyFont="1">
      <alignment horizontal="center" readingOrder="0"/>
    </xf>
    <xf borderId="6" fillId="4" fontId="5" numFmtId="0" xfId="0" applyAlignment="1" applyBorder="1" applyFont="1">
      <alignment horizontal="center" readingOrder="0"/>
    </xf>
    <xf borderId="1" fillId="6" fontId="22" numFmtId="0" xfId="0" applyAlignment="1" applyBorder="1" applyFont="1">
      <alignment readingOrder="0"/>
    </xf>
    <xf borderId="1" fillId="3" fontId="26" numFmtId="0" xfId="0" applyBorder="1" applyFont="1"/>
    <xf borderId="1" fillId="4" fontId="13" numFmtId="0" xfId="0" applyAlignment="1" applyBorder="1" applyFont="1">
      <alignment horizontal="center" readingOrder="0"/>
    </xf>
    <xf borderId="0" fillId="0" fontId="5" numFmtId="0" xfId="0" applyAlignment="1" applyFont="1">
      <alignment horizontal="center"/>
    </xf>
    <xf borderId="1" fillId="8" fontId="5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40.75"/>
    <col customWidth="1" min="3" max="3" width="15.13"/>
    <col customWidth="1" min="4" max="4" width="14.5"/>
    <col customWidth="1" min="6" max="6" width="25.88"/>
    <col customWidth="1" min="7" max="7" width="23.0"/>
    <col customWidth="1" min="8" max="8" width="13.88"/>
    <col customWidth="1" min="9" max="9" width="15.25"/>
    <col customWidth="1" min="10" max="40" width="3.38"/>
    <col customWidth="1" min="41" max="41" width="8.7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</row>
    <row r="2">
      <c r="A2" s="6" t="s">
        <v>11</v>
      </c>
      <c r="B2" s="8" t="s">
        <v>22</v>
      </c>
      <c r="C2" s="19" t="s">
        <v>26</v>
      </c>
      <c r="D2" s="21" t="s">
        <v>16</v>
      </c>
      <c r="E2" s="23">
        <v>45996.0</v>
      </c>
      <c r="F2" s="24" t="s">
        <v>27</v>
      </c>
      <c r="G2" s="24" t="s">
        <v>28</v>
      </c>
      <c r="H2" s="24" t="s">
        <v>29</v>
      </c>
      <c r="I2" s="25" t="s">
        <v>30</v>
      </c>
      <c r="J2" s="26"/>
      <c r="K2" s="26"/>
      <c r="L2" s="26"/>
      <c r="M2" s="26"/>
      <c r="N2" s="29"/>
      <c r="O2" s="29"/>
      <c r="P2" s="29"/>
      <c r="Q2" s="29"/>
      <c r="R2" s="24">
        <v>1.0</v>
      </c>
      <c r="S2" s="29"/>
      <c r="T2" s="29"/>
      <c r="U2" s="24">
        <v>1.0</v>
      </c>
      <c r="V2" s="29"/>
      <c r="W2" s="29"/>
      <c r="X2" s="29"/>
      <c r="Y2" s="24">
        <v>1.0</v>
      </c>
      <c r="Z2" s="29"/>
      <c r="AA2" s="24">
        <v>1.0</v>
      </c>
      <c r="AB2" s="29"/>
      <c r="AC2" s="29"/>
      <c r="AD2" s="29"/>
      <c r="AE2" s="29"/>
      <c r="AF2" s="8">
        <v>1.0</v>
      </c>
      <c r="AG2" s="8"/>
      <c r="AH2" s="8"/>
      <c r="AI2" s="8"/>
      <c r="AJ2" s="8"/>
      <c r="AK2" s="8"/>
      <c r="AL2" s="8"/>
      <c r="AM2" s="8"/>
      <c r="AN2" s="8"/>
      <c r="AO2" s="36">
        <f t="shared" ref="AO2:AO3" si="1">AN2+AM2+AL2+AK2+AJ2+AI2+AH2+AG2+AF2+AE2+AD2+AC2+AB2+AA2+Z2+Y2+X2+W2+V2+U2+T2+S2+R2+Q2+P2+O2+N2+M2+L2+K2+J2</f>
        <v>5</v>
      </c>
    </row>
    <row r="3">
      <c r="A3" s="30" t="s">
        <v>32</v>
      </c>
      <c r="B3" s="24" t="s">
        <v>41</v>
      </c>
      <c r="C3" s="19" t="s">
        <v>15</v>
      </c>
      <c r="D3" s="21" t="s">
        <v>16</v>
      </c>
      <c r="E3" s="23">
        <v>46021.0</v>
      </c>
      <c r="F3" s="24" t="s">
        <v>18</v>
      </c>
      <c r="G3" s="24" t="s">
        <v>45</v>
      </c>
      <c r="H3" s="24" t="s">
        <v>46</v>
      </c>
      <c r="I3" s="25" t="s">
        <v>24</v>
      </c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4">
        <v>1.0</v>
      </c>
      <c r="AN3" s="24">
        <v>1.0</v>
      </c>
      <c r="AO3" s="36">
        <f t="shared" si="1"/>
        <v>2</v>
      </c>
    </row>
    <row r="4">
      <c r="A4" s="37" t="s">
        <v>40</v>
      </c>
      <c r="B4" s="24" t="s">
        <v>53</v>
      </c>
      <c r="C4" s="19" t="s">
        <v>56</v>
      </c>
      <c r="D4" s="21" t="s">
        <v>16</v>
      </c>
      <c r="E4" s="23">
        <v>46015.0</v>
      </c>
      <c r="F4" s="24" t="s">
        <v>18</v>
      </c>
      <c r="G4" s="35" t="s">
        <v>58</v>
      </c>
      <c r="H4" s="35" t="s">
        <v>60</v>
      </c>
      <c r="I4" s="25" t="s">
        <v>25</v>
      </c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46">
        <v>0.0</v>
      </c>
    </row>
    <row r="5">
      <c r="A5" s="41" t="s">
        <v>52</v>
      </c>
      <c r="C5" s="47"/>
    </row>
    <row r="6">
      <c r="C6" s="48"/>
    </row>
    <row r="7">
      <c r="C7" s="48"/>
    </row>
    <row r="8">
      <c r="C8" s="48"/>
    </row>
    <row r="9">
      <c r="C9" s="48"/>
    </row>
    <row r="10">
      <c r="C10" s="48"/>
    </row>
    <row r="11">
      <c r="C11" s="48"/>
    </row>
    <row r="12">
      <c r="C12" s="48"/>
    </row>
    <row r="13">
      <c r="C13" s="48"/>
    </row>
    <row r="14">
      <c r="C14" s="48"/>
    </row>
  </sheetData>
  <dataValidations>
    <dataValidation type="list" allowBlank="1" showErrorMessage="1" sqref="I2:I4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4">
      <formula1>"ECONOMUS,CABESP,ALICE SAÚDE,VIVEST"</formula1>
    </dataValidation>
    <dataValidation type="list" allowBlank="1" showErrorMessage="1" sqref="D2:D4">
      <formula1>"NOVO PACIENTE,READMISSÃO,TROCA,INTENSIFICAÇÃO,DESMAME,COBERTURA,REVEZAMENTO"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5394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1.0"/>
    <col customWidth="1" min="2" max="2" width="40.75"/>
    <col customWidth="1" min="3" max="3" width="15.13"/>
    <col customWidth="1" min="4" max="4" width="14.5"/>
    <col customWidth="1" min="6" max="6" width="25.88"/>
    <col customWidth="1" min="7" max="7" width="29.13"/>
    <col customWidth="1" min="8" max="8" width="13.88"/>
    <col customWidth="1" min="9" max="9" width="15.25"/>
    <col customWidth="1" min="10" max="40" width="3.38"/>
    <col customWidth="1" min="41" max="43" width="8.7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  <c r="AP1" s="5" t="s">
        <v>10</v>
      </c>
      <c r="AQ1" s="4"/>
    </row>
    <row r="2">
      <c r="A2" s="6" t="s">
        <v>11</v>
      </c>
      <c r="B2" s="8" t="s">
        <v>13</v>
      </c>
      <c r="C2" s="9" t="s">
        <v>15</v>
      </c>
      <c r="D2" s="10" t="s">
        <v>16</v>
      </c>
      <c r="E2" s="11">
        <v>46042.0</v>
      </c>
      <c r="F2" s="7" t="s">
        <v>18</v>
      </c>
      <c r="G2" s="12" t="s">
        <v>19</v>
      </c>
      <c r="H2" s="12" t="s">
        <v>21</v>
      </c>
      <c r="I2" s="14" t="s">
        <v>24</v>
      </c>
      <c r="J2" s="15"/>
      <c r="K2" s="15"/>
      <c r="L2" s="15"/>
      <c r="M2" s="15"/>
      <c r="N2" s="15"/>
      <c r="O2" s="15"/>
      <c r="P2" s="15"/>
      <c r="Q2" s="15"/>
      <c r="R2" s="20"/>
      <c r="S2" s="15"/>
      <c r="T2" s="15"/>
      <c r="U2" s="20"/>
      <c r="V2" s="15"/>
      <c r="W2" s="20"/>
      <c r="X2" s="15"/>
      <c r="Y2" s="15"/>
      <c r="Z2" s="15"/>
      <c r="AA2" s="15"/>
      <c r="AB2" s="15"/>
      <c r="AC2" s="15"/>
      <c r="AD2" s="18">
        <v>1.0</v>
      </c>
      <c r="AE2" s="18">
        <v>1.0</v>
      </c>
      <c r="AF2" s="18">
        <v>1.0</v>
      </c>
      <c r="AG2" s="16"/>
      <c r="AH2" s="16"/>
      <c r="AI2" s="18">
        <v>1.0</v>
      </c>
      <c r="AJ2" s="8"/>
      <c r="AK2" s="8"/>
      <c r="AL2" s="8"/>
      <c r="AM2" s="8"/>
      <c r="AN2" s="8"/>
      <c r="AO2" s="31">
        <f>AN2+AM2+AL2+AK2+AJ2+AI2+AH2+AG2+AF2+AE2+AD2+AC2+AB2+AA2+Z2+Y2+X2+W2+V2+U2+T2+S2+R2+Q2+P2+O2+N2+M2+L2+K2+J2</f>
        <v>4</v>
      </c>
      <c r="AP2" s="32" t="s">
        <v>34</v>
      </c>
      <c r="AQ2" s="28"/>
    </row>
    <row r="3">
      <c r="A3" s="30" t="s">
        <v>32</v>
      </c>
      <c r="B3" s="7" t="s">
        <v>12</v>
      </c>
      <c r="C3" s="9" t="s">
        <v>14</v>
      </c>
      <c r="D3" s="10" t="s">
        <v>16</v>
      </c>
      <c r="E3" s="11">
        <v>46050.0</v>
      </c>
      <c r="F3" s="7" t="s">
        <v>17</v>
      </c>
      <c r="G3" s="34" t="s">
        <v>36</v>
      </c>
      <c r="H3" s="34" t="s">
        <v>37</v>
      </c>
      <c r="I3" s="14" t="s">
        <v>25</v>
      </c>
      <c r="J3" s="15"/>
      <c r="K3" s="15"/>
      <c r="L3" s="15"/>
      <c r="M3" s="15"/>
      <c r="N3" s="15"/>
      <c r="O3" s="15"/>
      <c r="P3" s="15"/>
      <c r="Q3" s="15"/>
      <c r="R3" s="20"/>
      <c r="S3" s="15"/>
      <c r="T3" s="15"/>
      <c r="U3" s="20"/>
      <c r="V3" s="15"/>
      <c r="W3" s="20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27" t="s">
        <v>31</v>
      </c>
      <c r="AP3" s="32" t="s">
        <v>43</v>
      </c>
      <c r="AQ3" s="28"/>
    </row>
    <row r="4">
      <c r="A4" s="37" t="s">
        <v>40</v>
      </c>
      <c r="B4" s="7" t="s">
        <v>12</v>
      </c>
      <c r="C4" s="9" t="s">
        <v>14</v>
      </c>
      <c r="D4" s="10" t="s">
        <v>47</v>
      </c>
      <c r="E4" s="11">
        <v>46052.0</v>
      </c>
      <c r="F4" s="7" t="s">
        <v>17</v>
      </c>
      <c r="G4" s="13" t="s">
        <v>20</v>
      </c>
      <c r="H4" s="13" t="s">
        <v>23</v>
      </c>
      <c r="I4" s="14" t="s">
        <v>25</v>
      </c>
      <c r="J4" s="15"/>
      <c r="K4" s="15"/>
      <c r="L4" s="15"/>
      <c r="M4" s="15"/>
      <c r="N4" s="15"/>
      <c r="O4" s="15"/>
      <c r="P4" s="15"/>
      <c r="Q4" s="15"/>
      <c r="R4" s="20"/>
      <c r="S4" s="15"/>
      <c r="T4" s="15"/>
      <c r="U4" s="20"/>
      <c r="V4" s="15"/>
      <c r="W4" s="20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8">
        <v>2.0</v>
      </c>
      <c r="AN4" s="16"/>
      <c r="AO4" s="27" t="s">
        <v>51</v>
      </c>
      <c r="AP4" s="32" t="s">
        <v>34</v>
      </c>
      <c r="AQ4" s="28"/>
    </row>
    <row r="5">
      <c r="A5" s="41" t="s">
        <v>52</v>
      </c>
      <c r="B5" s="7" t="s">
        <v>42</v>
      </c>
      <c r="C5" s="9" t="s">
        <v>44</v>
      </c>
      <c r="D5" s="10" t="s">
        <v>16</v>
      </c>
      <c r="E5" s="11">
        <v>46048.0</v>
      </c>
      <c r="F5" s="7" t="s">
        <v>18</v>
      </c>
      <c r="G5" s="34" t="s">
        <v>54</v>
      </c>
      <c r="H5" s="34" t="s">
        <v>55</v>
      </c>
      <c r="I5" s="14" t="s">
        <v>25</v>
      </c>
      <c r="J5" s="15"/>
      <c r="K5" s="15"/>
      <c r="L5" s="15"/>
      <c r="M5" s="15"/>
      <c r="N5" s="15"/>
      <c r="O5" s="15"/>
      <c r="P5" s="15"/>
      <c r="Q5" s="15"/>
      <c r="R5" s="20"/>
      <c r="S5" s="15"/>
      <c r="T5" s="15"/>
      <c r="U5" s="20"/>
      <c r="V5" s="15"/>
      <c r="W5" s="20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27" t="s">
        <v>31</v>
      </c>
      <c r="AP5" s="32" t="s">
        <v>43</v>
      </c>
      <c r="AQ5" s="28"/>
    </row>
    <row r="6">
      <c r="B6" s="7" t="s">
        <v>42</v>
      </c>
      <c r="C6" s="9" t="s">
        <v>44</v>
      </c>
      <c r="D6" s="10" t="s">
        <v>16</v>
      </c>
      <c r="E6" s="11">
        <v>46048.0</v>
      </c>
      <c r="F6" s="7" t="s">
        <v>18</v>
      </c>
      <c r="G6" s="44" t="s">
        <v>36</v>
      </c>
      <c r="H6" s="45" t="s">
        <v>37</v>
      </c>
      <c r="I6" s="14" t="s">
        <v>25</v>
      </c>
      <c r="J6" s="15"/>
      <c r="K6" s="15"/>
      <c r="L6" s="15"/>
      <c r="M6" s="15"/>
      <c r="N6" s="15"/>
      <c r="O6" s="15"/>
      <c r="P6" s="15"/>
      <c r="Q6" s="15"/>
      <c r="R6" s="20"/>
      <c r="S6" s="15"/>
      <c r="T6" s="15"/>
      <c r="U6" s="20"/>
      <c r="V6" s="15"/>
      <c r="W6" s="20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27" t="s">
        <v>31</v>
      </c>
      <c r="AP6" s="32" t="s">
        <v>43</v>
      </c>
      <c r="AQ6" s="28"/>
    </row>
    <row r="7">
      <c r="B7" s="24" t="s">
        <v>61</v>
      </c>
      <c r="C7" s="19" t="s">
        <v>26</v>
      </c>
      <c r="D7" s="21" t="s">
        <v>16</v>
      </c>
      <c r="E7" s="23">
        <v>46030.0</v>
      </c>
      <c r="F7" s="24" t="s">
        <v>18</v>
      </c>
      <c r="G7" s="24" t="s">
        <v>63</v>
      </c>
      <c r="H7" s="24" t="s">
        <v>65</v>
      </c>
      <c r="I7" s="25" t="s">
        <v>25</v>
      </c>
      <c r="J7" s="15"/>
      <c r="K7" s="15"/>
      <c r="L7" s="15"/>
      <c r="M7" s="15"/>
      <c r="N7" s="15"/>
      <c r="O7" s="15"/>
      <c r="P7" s="15"/>
      <c r="Q7" s="15"/>
      <c r="R7" s="51">
        <v>1.0</v>
      </c>
      <c r="S7" s="52"/>
      <c r="T7" s="52"/>
      <c r="U7" s="51">
        <v>1.0</v>
      </c>
      <c r="V7" s="52"/>
      <c r="W7" s="51">
        <v>1.0</v>
      </c>
      <c r="X7" s="52"/>
      <c r="Y7" s="51">
        <v>1.0</v>
      </c>
      <c r="Z7" s="52"/>
      <c r="AA7" s="52"/>
      <c r="AB7" s="51">
        <v>1.0</v>
      </c>
      <c r="AC7" s="52"/>
      <c r="AD7" s="51">
        <v>1.0</v>
      </c>
      <c r="AE7" s="52"/>
      <c r="AF7" s="51">
        <v>1.0</v>
      </c>
      <c r="AG7" s="52"/>
      <c r="AH7" s="52"/>
      <c r="AI7" s="51">
        <v>1.0</v>
      </c>
      <c r="AJ7" s="52"/>
      <c r="AK7" s="51">
        <v>1.0</v>
      </c>
      <c r="AL7" s="52"/>
      <c r="AM7" s="51">
        <v>1.0</v>
      </c>
      <c r="AN7" s="52"/>
      <c r="AO7" s="31">
        <f t="shared" ref="AO7:AO25" si="1">AN7+AM7+AL7+AK7+AJ7+AI7+AH7+AG7+AF7+AE7+AD7+AC7+AB7+AA7+Z7+Y7+X7+W7+V7+U7+T7+S7+R7+Q7+P7+O7+N7+M7+L7+K7+J7</f>
        <v>10</v>
      </c>
      <c r="AP7" s="32" t="s">
        <v>34</v>
      </c>
      <c r="AQ7" s="28"/>
    </row>
    <row r="8">
      <c r="A8" s="55"/>
      <c r="B8" s="57" t="s">
        <v>66</v>
      </c>
      <c r="C8" s="9" t="s">
        <v>67</v>
      </c>
      <c r="D8" s="10" t="s">
        <v>16</v>
      </c>
      <c r="E8" s="11">
        <v>46034.0</v>
      </c>
      <c r="F8" s="7" t="s">
        <v>18</v>
      </c>
      <c r="G8" s="44" t="s">
        <v>68</v>
      </c>
      <c r="H8" s="44" t="s">
        <v>69</v>
      </c>
      <c r="I8" s="14" t="s">
        <v>25</v>
      </c>
      <c r="J8" s="15"/>
      <c r="K8" s="15"/>
      <c r="L8" s="15"/>
      <c r="M8" s="15"/>
      <c r="N8" s="15"/>
      <c r="O8" s="15"/>
      <c r="P8" s="15"/>
      <c r="Q8" s="15"/>
      <c r="R8" s="15"/>
      <c r="S8" s="59"/>
      <c r="T8" s="59"/>
      <c r="U8" s="57">
        <v>1.0</v>
      </c>
      <c r="V8" s="57"/>
      <c r="W8" s="57">
        <v>1.0</v>
      </c>
      <c r="X8" s="57"/>
      <c r="Y8" s="57">
        <v>1.0</v>
      </c>
      <c r="Z8" s="57"/>
      <c r="AA8" s="57"/>
      <c r="AB8" s="57">
        <v>1.0</v>
      </c>
      <c r="AC8" s="57"/>
      <c r="AD8" s="57">
        <v>1.0</v>
      </c>
      <c r="AE8" s="57"/>
      <c r="AF8" s="57">
        <v>1.0</v>
      </c>
      <c r="AG8" s="57"/>
      <c r="AH8" s="57"/>
      <c r="AI8" s="57">
        <v>1.0</v>
      </c>
      <c r="AJ8" s="57"/>
      <c r="AK8" s="57">
        <v>1.0</v>
      </c>
      <c r="AL8" s="57"/>
      <c r="AM8" s="57">
        <v>1.0</v>
      </c>
      <c r="AN8" s="57"/>
      <c r="AO8" s="31">
        <f t="shared" si="1"/>
        <v>9</v>
      </c>
      <c r="AP8" s="32" t="s">
        <v>34</v>
      </c>
      <c r="AQ8" s="28"/>
    </row>
    <row r="9">
      <c r="A9" s="55"/>
      <c r="B9" s="57" t="s">
        <v>72</v>
      </c>
      <c r="C9" s="9" t="s">
        <v>56</v>
      </c>
      <c r="D9" s="10" t="s">
        <v>16</v>
      </c>
      <c r="E9" s="11">
        <v>46044.0</v>
      </c>
      <c r="F9" s="7" t="s">
        <v>18</v>
      </c>
      <c r="G9" s="44" t="s">
        <v>45</v>
      </c>
      <c r="H9" s="44" t="s">
        <v>46</v>
      </c>
      <c r="I9" s="14" t="s">
        <v>73</v>
      </c>
      <c r="J9" s="20"/>
      <c r="K9" s="20"/>
      <c r="L9" s="15"/>
      <c r="M9" s="15"/>
      <c r="N9" s="20"/>
      <c r="O9" s="20"/>
      <c r="P9" s="20"/>
      <c r="Q9" s="20"/>
      <c r="R9" s="20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7">
        <v>1.0</v>
      </c>
      <c r="AF9" s="57">
        <v>1.0</v>
      </c>
      <c r="AG9" s="57">
        <v>1.0</v>
      </c>
      <c r="AH9" s="57">
        <v>1.0</v>
      </c>
      <c r="AI9" s="57">
        <v>1.0</v>
      </c>
      <c r="AJ9" s="57">
        <v>1.0</v>
      </c>
      <c r="AK9" s="57">
        <v>1.0</v>
      </c>
      <c r="AL9" s="57">
        <v>1.0</v>
      </c>
      <c r="AM9" s="57">
        <v>1.0</v>
      </c>
      <c r="AN9" s="57">
        <v>1.0</v>
      </c>
      <c r="AO9" s="31">
        <f t="shared" si="1"/>
        <v>10</v>
      </c>
      <c r="AP9" s="32" t="s">
        <v>34</v>
      </c>
      <c r="AQ9" s="28"/>
    </row>
    <row r="10">
      <c r="A10" s="55"/>
      <c r="B10" s="67" t="s">
        <v>41</v>
      </c>
      <c r="C10" s="19" t="s">
        <v>15</v>
      </c>
      <c r="D10" s="21"/>
      <c r="E10" s="23"/>
      <c r="F10" s="24" t="s">
        <v>18</v>
      </c>
      <c r="G10" s="24" t="s">
        <v>45</v>
      </c>
      <c r="H10" s="24" t="s">
        <v>46</v>
      </c>
      <c r="I10" s="25" t="s">
        <v>24</v>
      </c>
      <c r="J10" s="51">
        <v>1.0</v>
      </c>
      <c r="K10" s="51">
        <v>1.0</v>
      </c>
      <c r="L10" s="52"/>
      <c r="M10" s="52"/>
      <c r="N10" s="51">
        <v>1.0</v>
      </c>
      <c r="O10" s="51">
        <v>1.0</v>
      </c>
      <c r="P10" s="51">
        <v>1.0</v>
      </c>
      <c r="Q10" s="51">
        <v>1.0</v>
      </c>
      <c r="R10" s="51">
        <v>1.0</v>
      </c>
      <c r="S10" s="67"/>
      <c r="T10" s="67"/>
      <c r="U10" s="67">
        <v>1.0</v>
      </c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31">
        <f t="shared" si="1"/>
        <v>8</v>
      </c>
      <c r="AP10" s="32" t="s">
        <v>34</v>
      </c>
      <c r="AQ10" s="28"/>
    </row>
    <row r="11">
      <c r="A11" s="55"/>
      <c r="B11" s="24" t="s">
        <v>41</v>
      </c>
      <c r="C11" s="19" t="s">
        <v>15</v>
      </c>
      <c r="D11" s="21" t="s">
        <v>77</v>
      </c>
      <c r="E11" s="23">
        <v>46043.0</v>
      </c>
      <c r="F11" s="24" t="s">
        <v>18</v>
      </c>
      <c r="G11" s="24" t="s">
        <v>45</v>
      </c>
      <c r="H11" s="24" t="s">
        <v>46</v>
      </c>
      <c r="I11" s="25" t="s">
        <v>25</v>
      </c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31">
        <f t="shared" si="1"/>
        <v>0</v>
      </c>
      <c r="AP11" s="32" t="s">
        <v>34</v>
      </c>
      <c r="AQ11" s="28"/>
    </row>
    <row r="12">
      <c r="A12" s="55"/>
      <c r="B12" s="7" t="s">
        <v>41</v>
      </c>
      <c r="C12" s="9" t="s">
        <v>15</v>
      </c>
      <c r="D12" s="10" t="s">
        <v>47</v>
      </c>
      <c r="E12" s="11">
        <v>46051.0</v>
      </c>
      <c r="F12" s="7" t="s">
        <v>18</v>
      </c>
      <c r="G12" s="7" t="s">
        <v>75</v>
      </c>
      <c r="H12" s="7" t="s">
        <v>76</v>
      </c>
      <c r="I12" s="14" t="s">
        <v>25</v>
      </c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16"/>
      <c r="AE12" s="16"/>
      <c r="AF12" s="18">
        <v>1.0</v>
      </c>
      <c r="AG12" s="16"/>
      <c r="AH12" s="16"/>
      <c r="AI12" s="18">
        <v>1.0</v>
      </c>
      <c r="AJ12" s="16"/>
      <c r="AK12" s="18">
        <v>1.0</v>
      </c>
      <c r="AL12" s="16"/>
      <c r="AM12" s="18">
        <v>1.0</v>
      </c>
      <c r="AN12" s="16"/>
      <c r="AO12" s="31">
        <f t="shared" si="1"/>
        <v>4</v>
      </c>
      <c r="AP12" s="32" t="s">
        <v>34</v>
      </c>
      <c r="AQ12" s="28"/>
    </row>
    <row r="13">
      <c r="A13" s="55"/>
      <c r="B13" s="24" t="s">
        <v>80</v>
      </c>
      <c r="C13" s="19" t="s">
        <v>15</v>
      </c>
      <c r="D13" s="21" t="s">
        <v>16</v>
      </c>
      <c r="E13" s="23">
        <v>46029.0</v>
      </c>
      <c r="F13" s="24" t="s">
        <v>17</v>
      </c>
      <c r="G13" s="7" t="s">
        <v>87</v>
      </c>
      <c r="H13" s="7" t="s">
        <v>88</v>
      </c>
      <c r="I13" s="25" t="s">
        <v>25</v>
      </c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31">
        <f t="shared" si="1"/>
        <v>0</v>
      </c>
      <c r="AP13" s="32" t="s">
        <v>34</v>
      </c>
      <c r="AQ13" s="28"/>
    </row>
    <row r="14">
      <c r="A14" s="55"/>
      <c r="B14" s="7" t="s">
        <v>80</v>
      </c>
      <c r="C14" s="19" t="s">
        <v>15</v>
      </c>
      <c r="D14" s="10" t="s">
        <v>47</v>
      </c>
      <c r="E14" s="23">
        <v>46041.0</v>
      </c>
      <c r="F14" s="24" t="s">
        <v>17</v>
      </c>
      <c r="G14" s="44" t="s">
        <v>57</v>
      </c>
      <c r="H14" s="44" t="s">
        <v>60</v>
      </c>
      <c r="I14" s="25" t="s">
        <v>25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6"/>
      <c r="AC14" s="18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31">
        <f t="shared" si="1"/>
        <v>0</v>
      </c>
      <c r="AP14" s="75" t="s">
        <v>34</v>
      </c>
      <c r="AQ14" s="75"/>
    </row>
    <row r="15">
      <c r="A15" s="55"/>
      <c r="B15" s="7" t="s">
        <v>89</v>
      </c>
      <c r="C15" s="9" t="s">
        <v>44</v>
      </c>
      <c r="D15" s="10" t="s">
        <v>16</v>
      </c>
      <c r="E15" s="11">
        <v>46036.0</v>
      </c>
      <c r="F15" s="7" t="s">
        <v>18</v>
      </c>
      <c r="G15" s="12" t="s">
        <v>90</v>
      </c>
      <c r="H15" s="12" t="s">
        <v>91</v>
      </c>
      <c r="I15" s="14" t="s">
        <v>30</v>
      </c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16"/>
      <c r="X15" s="18"/>
      <c r="Y15" s="16"/>
      <c r="Z15" s="16"/>
      <c r="AA15" s="16"/>
      <c r="AB15" s="16"/>
      <c r="AC15" s="18">
        <v>1.0</v>
      </c>
      <c r="AD15" s="16"/>
      <c r="AE15" s="18">
        <v>1.0</v>
      </c>
      <c r="AF15" s="16"/>
      <c r="AG15" s="16"/>
      <c r="AH15" s="16"/>
      <c r="AI15" s="16"/>
      <c r="AJ15" s="18">
        <v>1.0</v>
      </c>
      <c r="AK15" s="16"/>
      <c r="AL15" s="18">
        <v>1.0</v>
      </c>
      <c r="AM15" s="16"/>
      <c r="AN15" s="16"/>
      <c r="AO15" s="31">
        <f t="shared" si="1"/>
        <v>4</v>
      </c>
      <c r="AP15" s="75" t="s">
        <v>34</v>
      </c>
      <c r="AQ15" s="75"/>
    </row>
    <row r="16">
      <c r="A16" s="55"/>
      <c r="B16" s="67" t="s">
        <v>53</v>
      </c>
      <c r="C16" s="19" t="s">
        <v>56</v>
      </c>
      <c r="D16" s="21"/>
      <c r="E16" s="23"/>
      <c r="F16" s="24" t="s">
        <v>18</v>
      </c>
      <c r="G16" s="35" t="s">
        <v>58</v>
      </c>
      <c r="H16" s="35" t="s">
        <v>60</v>
      </c>
      <c r="I16" s="25" t="s">
        <v>25</v>
      </c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67"/>
      <c r="AG16" s="67"/>
      <c r="AH16" s="67"/>
      <c r="AI16" s="67"/>
      <c r="AJ16" s="67"/>
      <c r="AK16" s="67"/>
      <c r="AL16" s="67"/>
      <c r="AM16" s="67"/>
      <c r="AN16" s="67"/>
      <c r="AO16" s="31">
        <f t="shared" si="1"/>
        <v>0</v>
      </c>
      <c r="AP16" s="78" t="s">
        <v>43</v>
      </c>
      <c r="AQ16" s="78"/>
    </row>
    <row r="17">
      <c r="A17" s="55"/>
      <c r="B17" s="67" t="s">
        <v>53</v>
      </c>
      <c r="C17" s="19" t="s">
        <v>56</v>
      </c>
      <c r="D17" s="21" t="s">
        <v>47</v>
      </c>
      <c r="E17" s="23">
        <v>46027.0</v>
      </c>
      <c r="F17" s="24" t="s">
        <v>18</v>
      </c>
      <c r="G17" s="79" t="s">
        <v>104</v>
      </c>
      <c r="H17" s="79" t="s">
        <v>105</v>
      </c>
      <c r="I17" s="25" t="s">
        <v>25</v>
      </c>
      <c r="J17" s="52"/>
      <c r="K17" s="52"/>
      <c r="L17" s="52"/>
      <c r="M17" s="51"/>
      <c r="N17" s="51">
        <v>1.0</v>
      </c>
      <c r="O17" s="52"/>
      <c r="P17" s="51">
        <v>1.0</v>
      </c>
      <c r="Q17" s="52"/>
      <c r="R17" s="51">
        <v>1.0</v>
      </c>
      <c r="S17" s="52"/>
      <c r="T17" s="52"/>
      <c r="U17" s="51">
        <v>1.0</v>
      </c>
      <c r="V17" s="52"/>
      <c r="W17" s="52"/>
      <c r="X17" s="52"/>
      <c r="Y17" s="52"/>
      <c r="Z17" s="52"/>
      <c r="AA17" s="52"/>
      <c r="AB17" s="52"/>
      <c r="AC17" s="52"/>
      <c r="AD17" s="51">
        <v>1.0</v>
      </c>
      <c r="AE17" s="52"/>
      <c r="AF17" s="67"/>
      <c r="AG17" s="67"/>
      <c r="AH17" s="67"/>
      <c r="AI17" s="67"/>
      <c r="AJ17" s="67"/>
      <c r="AK17" s="67"/>
      <c r="AL17" s="67"/>
      <c r="AM17" s="67"/>
      <c r="AN17" s="67"/>
      <c r="AO17" s="31">
        <f t="shared" si="1"/>
        <v>5</v>
      </c>
      <c r="AP17" s="78" t="s">
        <v>34</v>
      </c>
      <c r="AQ17" s="78"/>
    </row>
    <row r="18">
      <c r="A18" s="55"/>
      <c r="B18" s="24" t="s">
        <v>100</v>
      </c>
      <c r="C18" s="19" t="s">
        <v>15</v>
      </c>
      <c r="D18" s="21" t="s">
        <v>16</v>
      </c>
      <c r="E18" s="23">
        <v>46029.0</v>
      </c>
      <c r="F18" s="24" t="s">
        <v>101</v>
      </c>
      <c r="G18" s="24" t="s">
        <v>114</v>
      </c>
      <c r="H18" s="24" t="s">
        <v>116</v>
      </c>
      <c r="I18" s="25" t="s">
        <v>73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31">
        <f t="shared" si="1"/>
        <v>0</v>
      </c>
      <c r="AP18" s="32" t="s">
        <v>34</v>
      </c>
      <c r="AQ18" s="28"/>
    </row>
    <row r="19">
      <c r="A19" s="55"/>
      <c r="B19" s="24" t="s">
        <v>100</v>
      </c>
      <c r="C19" s="19" t="s">
        <v>15</v>
      </c>
      <c r="D19" s="21" t="s">
        <v>47</v>
      </c>
      <c r="E19" s="23">
        <v>46034.0</v>
      </c>
      <c r="F19" s="24" t="s">
        <v>101</v>
      </c>
      <c r="G19" s="24" t="s">
        <v>102</v>
      </c>
      <c r="H19" s="24" t="s">
        <v>103</v>
      </c>
      <c r="I19" s="25" t="s">
        <v>73</v>
      </c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8">
        <v>1.0</v>
      </c>
      <c r="V19" s="51">
        <v>1.0</v>
      </c>
      <c r="W19" s="51">
        <v>1.0</v>
      </c>
      <c r="X19" s="51">
        <v>1.0</v>
      </c>
      <c r="Y19" s="51">
        <v>1.0</v>
      </c>
      <c r="Z19" s="51">
        <v>1.0</v>
      </c>
      <c r="AA19" s="51">
        <v>1.0</v>
      </c>
      <c r="AB19" s="51">
        <v>1.0</v>
      </c>
      <c r="AC19" s="51">
        <v>1.0</v>
      </c>
      <c r="AD19" s="51">
        <v>1.0</v>
      </c>
      <c r="AE19" s="51">
        <v>1.0</v>
      </c>
      <c r="AF19" s="51">
        <v>1.0</v>
      </c>
      <c r="AG19" s="51">
        <v>1.0</v>
      </c>
      <c r="AH19" s="51">
        <v>1.0</v>
      </c>
      <c r="AI19" s="51">
        <v>1.0</v>
      </c>
      <c r="AJ19" s="51">
        <v>1.0</v>
      </c>
      <c r="AK19" s="51">
        <v>1.0</v>
      </c>
      <c r="AL19" s="51">
        <v>1.0</v>
      </c>
      <c r="AM19" s="51">
        <v>1.0</v>
      </c>
      <c r="AN19" s="51">
        <v>1.0</v>
      </c>
      <c r="AO19" s="31">
        <f t="shared" si="1"/>
        <v>20</v>
      </c>
      <c r="AP19" s="32" t="s">
        <v>34</v>
      </c>
      <c r="AQ19" s="28"/>
    </row>
    <row r="20">
      <c r="A20" s="55"/>
      <c r="B20" s="24" t="s">
        <v>111</v>
      </c>
      <c r="C20" s="19" t="s">
        <v>56</v>
      </c>
      <c r="D20" s="21" t="s">
        <v>16</v>
      </c>
      <c r="E20" s="23">
        <v>46031.0</v>
      </c>
      <c r="F20" s="24" t="s">
        <v>112</v>
      </c>
      <c r="G20" s="24" t="s">
        <v>127</v>
      </c>
      <c r="H20" s="24" t="s">
        <v>128</v>
      </c>
      <c r="I20" s="25" t="s">
        <v>25</v>
      </c>
      <c r="J20" s="64"/>
      <c r="K20" s="64"/>
      <c r="L20" s="64"/>
      <c r="M20" s="62">
        <v>1.0</v>
      </c>
      <c r="N20" s="64"/>
      <c r="O20" s="64"/>
      <c r="P20" s="64"/>
      <c r="Q20" s="64"/>
      <c r="R20" s="51">
        <v>1.0</v>
      </c>
      <c r="S20" s="52"/>
      <c r="T20" s="52"/>
      <c r="U20" s="51">
        <v>1.0</v>
      </c>
      <c r="V20" s="52"/>
      <c r="W20" s="51">
        <v>1.0</v>
      </c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31">
        <f t="shared" si="1"/>
        <v>4</v>
      </c>
      <c r="AP20" s="32" t="s">
        <v>34</v>
      </c>
      <c r="AQ20" s="28"/>
    </row>
    <row r="21">
      <c r="A21" s="55"/>
      <c r="B21" s="24" t="s">
        <v>111</v>
      </c>
      <c r="C21" s="19" t="s">
        <v>56</v>
      </c>
      <c r="D21" s="10" t="s">
        <v>47</v>
      </c>
      <c r="E21" s="11">
        <v>46048.0</v>
      </c>
      <c r="F21" s="24" t="s">
        <v>112</v>
      </c>
      <c r="G21" s="44" t="s">
        <v>113</v>
      </c>
      <c r="H21" s="44" t="s">
        <v>115</v>
      </c>
      <c r="I21" s="25" t="s">
        <v>25</v>
      </c>
      <c r="J21" s="15"/>
      <c r="K21" s="15"/>
      <c r="L21" s="15"/>
      <c r="M21" s="15"/>
      <c r="N21" s="15"/>
      <c r="O21" s="15"/>
      <c r="P21" s="20"/>
      <c r="Q21" s="15"/>
      <c r="R21" s="20"/>
      <c r="S21" s="15"/>
      <c r="T21" s="15"/>
      <c r="U21" s="15"/>
      <c r="V21" s="15"/>
      <c r="W21" s="1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0"/>
      <c r="AJ21" s="80"/>
      <c r="AK21" s="80"/>
      <c r="AL21" s="7"/>
      <c r="AM21" s="7">
        <v>2.0</v>
      </c>
      <c r="AN21" s="7">
        <v>2.0</v>
      </c>
      <c r="AO21" s="31">
        <f t="shared" si="1"/>
        <v>4</v>
      </c>
      <c r="AP21" s="75" t="s">
        <v>34</v>
      </c>
      <c r="AQ21" s="75"/>
    </row>
    <row r="22">
      <c r="A22" s="55"/>
      <c r="B22" s="8" t="s">
        <v>132</v>
      </c>
      <c r="C22" s="19" t="s">
        <v>14</v>
      </c>
      <c r="D22" s="21" t="s">
        <v>16</v>
      </c>
      <c r="E22" s="23">
        <v>46029.0</v>
      </c>
      <c r="F22" s="24" t="s">
        <v>18</v>
      </c>
      <c r="G22" s="35" t="s">
        <v>133</v>
      </c>
      <c r="H22" s="35" t="s">
        <v>134</v>
      </c>
      <c r="I22" s="25" t="s">
        <v>25</v>
      </c>
      <c r="J22" s="15"/>
      <c r="K22" s="15"/>
      <c r="L22" s="15"/>
      <c r="M22" s="15"/>
      <c r="N22" s="15"/>
      <c r="O22" s="15"/>
      <c r="P22" s="51">
        <v>1.0</v>
      </c>
      <c r="Q22" s="52"/>
      <c r="R22" s="51">
        <v>1.0</v>
      </c>
      <c r="S22" s="52"/>
      <c r="T22" s="52"/>
      <c r="U22" s="52"/>
      <c r="V22" s="52"/>
      <c r="W22" s="52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31">
        <f t="shared" si="1"/>
        <v>2</v>
      </c>
      <c r="AP22" s="78" t="s">
        <v>34</v>
      </c>
      <c r="AQ22" s="78"/>
    </row>
    <row r="23">
      <c r="A23" s="55"/>
      <c r="B23" s="8" t="s">
        <v>132</v>
      </c>
      <c r="C23" s="19" t="s">
        <v>14</v>
      </c>
      <c r="D23" s="21" t="s">
        <v>47</v>
      </c>
      <c r="E23" s="23">
        <v>46036.0</v>
      </c>
      <c r="F23" s="24" t="s">
        <v>18</v>
      </c>
      <c r="G23" s="44" t="s">
        <v>135</v>
      </c>
      <c r="H23" s="44" t="s">
        <v>136</v>
      </c>
      <c r="I23" s="25" t="s">
        <v>25</v>
      </c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31">
        <f t="shared" si="1"/>
        <v>0</v>
      </c>
      <c r="AP23" s="78" t="s">
        <v>43</v>
      </c>
      <c r="AQ23" s="78"/>
    </row>
    <row r="24">
      <c r="A24" s="55"/>
      <c r="B24" s="86" t="s">
        <v>137</v>
      </c>
      <c r="C24" s="19" t="s">
        <v>15</v>
      </c>
      <c r="D24" s="21" t="s">
        <v>16</v>
      </c>
      <c r="E24" s="23">
        <v>46034.0</v>
      </c>
      <c r="F24" s="24" t="s">
        <v>18</v>
      </c>
      <c r="G24" s="35" t="s">
        <v>138</v>
      </c>
      <c r="H24" s="35" t="s">
        <v>139</v>
      </c>
      <c r="I24" s="25" t="s">
        <v>25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52"/>
      <c r="V24" s="52"/>
      <c r="W24" s="51">
        <v>1.0</v>
      </c>
      <c r="X24" s="67"/>
      <c r="Y24" s="57"/>
      <c r="Z24" s="57"/>
      <c r="AA24" s="57"/>
      <c r="AB24" s="57">
        <v>1.0</v>
      </c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31">
        <f t="shared" si="1"/>
        <v>2</v>
      </c>
      <c r="AP24" s="78" t="s">
        <v>34</v>
      </c>
      <c r="AQ24" s="78"/>
    </row>
    <row r="25">
      <c r="A25" s="55"/>
      <c r="B25" s="24" t="s">
        <v>123</v>
      </c>
      <c r="C25" s="19" t="s">
        <v>44</v>
      </c>
      <c r="D25" s="21" t="s">
        <v>16</v>
      </c>
      <c r="E25" s="23">
        <v>46027.0</v>
      </c>
      <c r="F25" s="24" t="s">
        <v>130</v>
      </c>
      <c r="G25" s="24" t="s">
        <v>114</v>
      </c>
      <c r="H25" s="24" t="s">
        <v>116</v>
      </c>
      <c r="I25" s="25" t="s">
        <v>24</v>
      </c>
      <c r="J25" s="15"/>
      <c r="K25" s="15"/>
      <c r="L25" s="15"/>
      <c r="M25" s="15"/>
      <c r="N25" s="51">
        <v>1.0</v>
      </c>
      <c r="O25" s="51">
        <v>1.0</v>
      </c>
      <c r="P25" s="51">
        <v>1.0</v>
      </c>
      <c r="Q25" s="51">
        <v>1.0</v>
      </c>
      <c r="R25" s="51">
        <v>1.0</v>
      </c>
      <c r="S25" s="52"/>
      <c r="T25" s="52"/>
      <c r="U25" s="51">
        <v>1.0</v>
      </c>
      <c r="V25" s="51">
        <v>1.0</v>
      </c>
      <c r="W25" s="51">
        <v>1.0</v>
      </c>
      <c r="X25" s="51">
        <v>1.0</v>
      </c>
      <c r="Y25" s="51">
        <v>1.0</v>
      </c>
      <c r="Z25" s="52"/>
      <c r="AA25" s="52"/>
      <c r="AB25" s="51">
        <v>1.0</v>
      </c>
      <c r="AC25" s="51">
        <v>1.0</v>
      </c>
      <c r="AD25" s="51">
        <v>1.0</v>
      </c>
      <c r="AE25" s="51">
        <v>1.0</v>
      </c>
      <c r="AF25" s="51">
        <v>1.0</v>
      </c>
      <c r="AG25" s="52"/>
      <c r="AH25" s="52"/>
      <c r="AI25" s="51">
        <v>1.0</v>
      </c>
      <c r="AJ25" s="51">
        <v>1.0</v>
      </c>
      <c r="AK25" s="51">
        <v>1.0</v>
      </c>
      <c r="AL25" s="51">
        <v>1.0</v>
      </c>
      <c r="AM25" s="51">
        <v>1.0</v>
      </c>
      <c r="AN25" s="52"/>
      <c r="AO25" s="31">
        <f t="shared" si="1"/>
        <v>20</v>
      </c>
      <c r="AP25" s="78" t="s">
        <v>34</v>
      </c>
      <c r="AQ25" s="78"/>
    </row>
    <row r="26">
      <c r="C26" s="47"/>
    </row>
    <row r="27">
      <c r="C27" s="48"/>
    </row>
    <row r="28">
      <c r="C28" s="48"/>
    </row>
    <row r="29">
      <c r="C29" s="48"/>
    </row>
    <row r="30">
      <c r="C30" s="48"/>
    </row>
    <row r="31">
      <c r="C31" s="48"/>
    </row>
    <row r="32">
      <c r="C32" s="48"/>
    </row>
    <row r="33">
      <c r="C33" s="48"/>
    </row>
    <row r="34">
      <c r="C34" s="48"/>
    </row>
    <row r="35">
      <c r="C35" s="48"/>
    </row>
  </sheetData>
  <dataValidations>
    <dataValidation type="list" allowBlank="1" showErrorMessage="1" sqref="I2:I25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25">
      <formula1>"ECONOMUS,CABESP,ALICE SAÚDE,VIVEST,PORTO SEGURO,CARE PLUS"</formula1>
    </dataValidation>
    <dataValidation type="list" allowBlank="1" showErrorMessage="1" sqref="D2:D25">
      <formula1>"NOVO PACIENTE,READMISSÃO,TROCA,INTENSIFICAÇÃO,DESMAME,COBERTURA,REVEZAMENTO"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1.0"/>
    <col customWidth="1" min="2" max="2" width="40.75"/>
    <col customWidth="1" min="3" max="3" width="15.13"/>
    <col customWidth="1" min="4" max="4" width="14.5"/>
    <col customWidth="1" min="6" max="6" width="25.88"/>
    <col customWidth="1" min="7" max="7" width="31.38"/>
    <col customWidth="1" min="8" max="8" width="13.88"/>
    <col customWidth="1" min="9" max="9" width="15.25"/>
    <col customWidth="1" min="10" max="37" width="3.38"/>
    <col customWidth="1" hidden="1" min="38" max="40" width="3.38"/>
    <col customWidth="1" min="41" max="42" width="8.7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  <c r="AP1" s="4"/>
    </row>
    <row r="2">
      <c r="A2" s="6" t="s">
        <v>11</v>
      </c>
      <c r="B2" s="7" t="s">
        <v>12</v>
      </c>
      <c r="C2" s="9" t="s">
        <v>14</v>
      </c>
      <c r="D2" s="10"/>
      <c r="E2" s="11"/>
      <c r="F2" s="7" t="s">
        <v>17</v>
      </c>
      <c r="G2" s="13" t="s">
        <v>20</v>
      </c>
      <c r="H2" s="13" t="s">
        <v>23</v>
      </c>
      <c r="I2" s="14" t="s">
        <v>25</v>
      </c>
      <c r="J2" s="17"/>
      <c r="K2" s="17"/>
      <c r="L2" s="17"/>
      <c r="M2" s="17"/>
      <c r="N2" s="17"/>
      <c r="O2" s="17"/>
      <c r="P2" s="17"/>
      <c r="Q2" s="17"/>
      <c r="R2" s="22"/>
      <c r="S2" s="17"/>
      <c r="T2" s="17"/>
      <c r="U2" s="22"/>
      <c r="V2" s="17"/>
      <c r="W2" s="22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27" t="s">
        <v>31</v>
      </c>
      <c r="AP2" s="28"/>
    </row>
    <row r="3">
      <c r="A3" s="30" t="s">
        <v>32</v>
      </c>
      <c r="B3" s="7" t="s">
        <v>12</v>
      </c>
      <c r="C3" s="9" t="s">
        <v>14</v>
      </c>
      <c r="D3" s="10" t="s">
        <v>33</v>
      </c>
      <c r="E3" s="11">
        <v>46080.0</v>
      </c>
      <c r="F3" s="7" t="s">
        <v>17</v>
      </c>
      <c r="G3" s="13" t="s">
        <v>20</v>
      </c>
      <c r="H3" s="13" t="s">
        <v>23</v>
      </c>
      <c r="I3" s="14" t="s">
        <v>30</v>
      </c>
      <c r="J3" s="17"/>
      <c r="K3" s="17"/>
      <c r="L3" s="17"/>
      <c r="M3" s="17"/>
      <c r="N3" s="17"/>
      <c r="O3" s="17"/>
      <c r="P3" s="17"/>
      <c r="Q3" s="17"/>
      <c r="R3" s="22"/>
      <c r="S3" s="17"/>
      <c r="T3" s="17"/>
      <c r="U3" s="22"/>
      <c r="V3" s="17"/>
      <c r="W3" s="22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27" t="s">
        <v>31</v>
      </c>
      <c r="AP3" s="28"/>
    </row>
    <row r="4">
      <c r="A4" s="37" t="s">
        <v>40</v>
      </c>
      <c r="B4" s="7" t="s">
        <v>42</v>
      </c>
      <c r="C4" s="9" t="s">
        <v>44</v>
      </c>
      <c r="D4" s="10"/>
      <c r="E4" s="11"/>
      <c r="F4" s="7" t="s">
        <v>18</v>
      </c>
      <c r="G4" s="34" t="s">
        <v>36</v>
      </c>
      <c r="H4" s="38" t="s">
        <v>37</v>
      </c>
      <c r="I4" s="14" t="s">
        <v>25</v>
      </c>
      <c r="J4" s="17"/>
      <c r="K4" s="17"/>
      <c r="L4" s="17"/>
      <c r="M4" s="17"/>
      <c r="N4" s="17"/>
      <c r="O4" s="17"/>
      <c r="P4" s="17"/>
      <c r="Q4" s="17"/>
      <c r="R4" s="22"/>
      <c r="S4" s="17"/>
      <c r="T4" s="17"/>
      <c r="U4" s="22"/>
      <c r="V4" s="17"/>
      <c r="W4" s="22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6"/>
      <c r="AM4" s="16"/>
      <c r="AN4" s="16"/>
      <c r="AO4" s="27" t="s">
        <v>31</v>
      </c>
      <c r="AP4" s="28"/>
    </row>
    <row r="5">
      <c r="A5" s="41" t="s">
        <v>52</v>
      </c>
      <c r="B5" s="7" t="s">
        <v>42</v>
      </c>
      <c r="C5" s="9" t="s">
        <v>44</v>
      </c>
      <c r="D5" s="10" t="s">
        <v>47</v>
      </c>
      <c r="E5" s="11"/>
      <c r="F5" s="7" t="s">
        <v>18</v>
      </c>
      <c r="G5" s="42" t="s">
        <v>57</v>
      </c>
      <c r="H5" s="38" t="s">
        <v>59</v>
      </c>
      <c r="I5" s="14" t="s">
        <v>25</v>
      </c>
      <c r="J5" s="17"/>
      <c r="K5" s="17"/>
      <c r="L5" s="17"/>
      <c r="M5" s="17"/>
      <c r="N5" s="17"/>
      <c r="O5" s="17"/>
      <c r="P5" s="17"/>
      <c r="Q5" s="17"/>
      <c r="R5" s="22"/>
      <c r="S5" s="17"/>
      <c r="T5" s="17"/>
      <c r="U5" s="22"/>
      <c r="V5" s="17"/>
      <c r="W5" s="22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6"/>
      <c r="AM5" s="16"/>
      <c r="AN5" s="16"/>
      <c r="AO5" s="27" t="s">
        <v>31</v>
      </c>
      <c r="AP5" s="28"/>
    </row>
    <row r="6">
      <c r="B6" s="7" t="s">
        <v>42</v>
      </c>
      <c r="C6" s="9" t="s">
        <v>44</v>
      </c>
      <c r="D6" s="10" t="s">
        <v>47</v>
      </c>
      <c r="E6" s="11">
        <v>46066.0</v>
      </c>
      <c r="F6" s="7" t="s">
        <v>18</v>
      </c>
      <c r="G6" s="42" t="s">
        <v>62</v>
      </c>
      <c r="H6" s="42" t="s">
        <v>64</v>
      </c>
      <c r="I6" s="14" t="s">
        <v>25</v>
      </c>
      <c r="J6" s="17"/>
      <c r="K6" s="17"/>
      <c r="L6" s="17"/>
      <c r="M6" s="17"/>
      <c r="N6" s="17"/>
      <c r="O6" s="17"/>
      <c r="P6" s="17"/>
      <c r="Q6" s="17"/>
      <c r="R6" s="22"/>
      <c r="S6" s="17"/>
      <c r="T6" s="17"/>
      <c r="U6" s="22"/>
      <c r="V6" s="17"/>
      <c r="W6" s="22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6"/>
      <c r="AM6" s="16"/>
      <c r="AN6" s="16"/>
      <c r="AO6" s="27" t="s">
        <v>31</v>
      </c>
      <c r="AP6" s="28"/>
    </row>
    <row r="7">
      <c r="B7" s="33" t="s">
        <v>61</v>
      </c>
      <c r="C7" s="19" t="s">
        <v>26</v>
      </c>
      <c r="D7" s="21"/>
      <c r="E7" s="23"/>
      <c r="F7" s="24" t="s">
        <v>18</v>
      </c>
      <c r="G7" s="24" t="s">
        <v>63</v>
      </c>
      <c r="H7" s="24" t="s">
        <v>65</v>
      </c>
      <c r="I7" s="25" t="s">
        <v>25</v>
      </c>
      <c r="J7" s="17"/>
      <c r="K7" s="17"/>
      <c r="L7" s="17"/>
      <c r="M7" s="17"/>
      <c r="N7" s="17"/>
      <c r="O7" s="17"/>
      <c r="P7" s="17"/>
      <c r="Q7" s="17"/>
      <c r="R7" s="22"/>
      <c r="S7" s="17"/>
      <c r="T7" s="17"/>
      <c r="U7" s="22"/>
      <c r="V7" s="54"/>
      <c r="W7" s="56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17"/>
      <c r="AK7" s="17"/>
      <c r="AL7" s="16"/>
      <c r="AM7" s="16"/>
      <c r="AN7" s="16"/>
      <c r="AO7" s="31">
        <f t="shared" ref="AO7:AO10" si="1">AN7+AM7+AL7+AK7+AJ7+AI7+AH7+AG7+AF7+AE7+AD7+AC7+AB7+AA7+Z7+Y7+X7+W7+V7+U7+T7+S7+R7+Q7+P7+O7+N7+M7+L7+K7+J7</f>
        <v>0</v>
      </c>
      <c r="AP7" s="28"/>
    </row>
    <row r="8">
      <c r="B8" s="57" t="s">
        <v>66</v>
      </c>
      <c r="C8" s="60" t="s">
        <v>67</v>
      </c>
      <c r="D8" s="10"/>
      <c r="E8" s="11"/>
      <c r="F8" s="7" t="s">
        <v>18</v>
      </c>
      <c r="G8" s="34" t="s">
        <v>68</v>
      </c>
      <c r="H8" s="34" t="s">
        <v>69</v>
      </c>
      <c r="I8" s="14" t="s">
        <v>25</v>
      </c>
      <c r="J8" s="16"/>
      <c r="K8" s="18">
        <v>1.0</v>
      </c>
      <c r="L8" s="16"/>
      <c r="M8" s="18">
        <v>1.0</v>
      </c>
      <c r="N8" s="16"/>
      <c r="O8" s="18">
        <v>1.0</v>
      </c>
      <c r="P8" s="16"/>
      <c r="Q8" s="16"/>
      <c r="R8" s="18">
        <v>1.0</v>
      </c>
      <c r="S8" s="57"/>
      <c r="T8" s="57">
        <v>1.0</v>
      </c>
      <c r="U8" s="57"/>
      <c r="V8" s="57">
        <v>1.0</v>
      </c>
      <c r="W8" s="57"/>
      <c r="X8" s="57"/>
      <c r="Y8" s="57">
        <v>1.0</v>
      </c>
      <c r="Z8" s="57"/>
      <c r="AA8" s="57">
        <v>1.0</v>
      </c>
      <c r="AB8" s="57"/>
      <c r="AC8" s="57">
        <v>1.0</v>
      </c>
      <c r="AD8" s="57"/>
      <c r="AE8" s="57"/>
      <c r="AF8" s="57">
        <v>1.0</v>
      </c>
      <c r="AG8" s="57"/>
      <c r="AH8" s="57">
        <v>1.0</v>
      </c>
      <c r="AI8" s="57"/>
      <c r="AJ8" s="57">
        <v>1.0</v>
      </c>
      <c r="AK8" s="57"/>
      <c r="AL8" s="57"/>
      <c r="AM8" s="57"/>
      <c r="AN8" s="57"/>
      <c r="AO8" s="31">
        <f t="shared" si="1"/>
        <v>12</v>
      </c>
      <c r="AP8" s="28"/>
    </row>
    <row r="9">
      <c r="B9" s="68" t="s">
        <v>66</v>
      </c>
      <c r="C9" s="9" t="s">
        <v>67</v>
      </c>
      <c r="D9" s="10"/>
      <c r="E9" s="11"/>
      <c r="F9" s="7" t="s">
        <v>18</v>
      </c>
      <c r="G9" s="12" t="s">
        <v>70</v>
      </c>
      <c r="H9" s="12" t="s">
        <v>71</v>
      </c>
      <c r="I9" s="14" t="s">
        <v>25</v>
      </c>
      <c r="J9" s="62"/>
      <c r="K9" s="62"/>
      <c r="L9" s="64"/>
      <c r="M9" s="64"/>
      <c r="N9" s="62"/>
      <c r="O9" s="62"/>
      <c r="P9" s="62"/>
      <c r="Q9" s="62"/>
      <c r="R9" s="6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53"/>
      <c r="AM9" s="53"/>
      <c r="AN9" s="53"/>
      <c r="AO9" s="27">
        <f t="shared" si="1"/>
        <v>0</v>
      </c>
      <c r="AP9" s="28"/>
    </row>
    <row r="10">
      <c r="B10" s="68" t="s">
        <v>72</v>
      </c>
      <c r="C10" s="9" t="s">
        <v>56</v>
      </c>
      <c r="D10" s="10"/>
      <c r="E10" s="11"/>
      <c r="F10" s="7" t="s">
        <v>18</v>
      </c>
      <c r="G10" s="44" t="s">
        <v>45</v>
      </c>
      <c r="H10" s="44" t="s">
        <v>46</v>
      </c>
      <c r="I10" s="14" t="s">
        <v>73</v>
      </c>
      <c r="J10" s="18">
        <v>1.0</v>
      </c>
      <c r="K10" s="18">
        <v>1.0</v>
      </c>
      <c r="L10" s="18">
        <v>1.0</v>
      </c>
      <c r="M10" s="18">
        <v>1.0</v>
      </c>
      <c r="N10" s="18">
        <v>1.0</v>
      </c>
      <c r="O10" s="18">
        <v>1.0</v>
      </c>
      <c r="P10" s="66">
        <v>1.0</v>
      </c>
      <c r="Q10" s="66">
        <v>1.0</v>
      </c>
      <c r="R10" s="66">
        <v>1.0</v>
      </c>
      <c r="S10" s="57">
        <v>1.0</v>
      </c>
      <c r="T10" s="57">
        <v>1.0</v>
      </c>
      <c r="U10" s="57">
        <v>1.0</v>
      </c>
      <c r="V10" s="57">
        <v>1.0</v>
      </c>
      <c r="W10" s="57">
        <v>1.0</v>
      </c>
      <c r="X10" s="57">
        <v>1.0</v>
      </c>
      <c r="Y10" s="57">
        <v>1.0</v>
      </c>
      <c r="Z10" s="57">
        <v>1.0</v>
      </c>
      <c r="AA10" s="57">
        <v>1.0</v>
      </c>
      <c r="AB10" s="57">
        <v>1.0</v>
      </c>
      <c r="AC10" s="57">
        <v>1.0</v>
      </c>
      <c r="AD10" s="57">
        <v>1.0</v>
      </c>
      <c r="AE10" s="57">
        <v>1.0</v>
      </c>
      <c r="AF10" s="57">
        <v>1.0</v>
      </c>
      <c r="AG10" s="57">
        <v>1.0</v>
      </c>
      <c r="AH10" s="57">
        <v>1.0</v>
      </c>
      <c r="AI10" s="57">
        <v>1.0</v>
      </c>
      <c r="AJ10" s="57">
        <v>1.0</v>
      </c>
      <c r="AK10" s="57">
        <v>1.0</v>
      </c>
      <c r="AL10" s="53"/>
      <c r="AM10" s="53"/>
      <c r="AN10" s="53"/>
      <c r="AO10" s="31">
        <f t="shared" si="1"/>
        <v>28</v>
      </c>
      <c r="AP10" s="28"/>
    </row>
    <row r="11">
      <c r="A11" s="55"/>
      <c r="B11" s="7" t="s">
        <v>41</v>
      </c>
      <c r="C11" s="9" t="s">
        <v>15</v>
      </c>
      <c r="D11" s="10"/>
      <c r="E11" s="11"/>
      <c r="F11" s="7" t="s">
        <v>18</v>
      </c>
      <c r="G11" s="7" t="s">
        <v>75</v>
      </c>
      <c r="H11" s="7" t="s">
        <v>76</v>
      </c>
      <c r="I11" s="14" t="s">
        <v>25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6"/>
      <c r="AM11" s="16"/>
      <c r="AN11" s="16"/>
      <c r="AO11" s="27" t="s">
        <v>31</v>
      </c>
      <c r="AP11" s="28"/>
    </row>
    <row r="12">
      <c r="A12" s="55"/>
      <c r="B12" s="7" t="s">
        <v>80</v>
      </c>
      <c r="C12" s="19" t="s">
        <v>15</v>
      </c>
      <c r="D12" s="10"/>
      <c r="E12" s="23"/>
      <c r="F12" s="24" t="s">
        <v>17</v>
      </c>
      <c r="G12" s="34" t="s">
        <v>57</v>
      </c>
      <c r="H12" s="34" t="s">
        <v>60</v>
      </c>
      <c r="I12" s="25" t="s">
        <v>25</v>
      </c>
      <c r="J12" s="16"/>
      <c r="K12" s="18">
        <v>1.0</v>
      </c>
      <c r="L12" s="16"/>
      <c r="M12" s="18">
        <v>1.0</v>
      </c>
      <c r="N12" s="16"/>
      <c r="O12" s="18">
        <v>1.0</v>
      </c>
      <c r="P12" s="16"/>
      <c r="Q12" s="16"/>
      <c r="R12" s="18">
        <v>1.0</v>
      </c>
      <c r="S12" s="16"/>
      <c r="T12" s="18">
        <v>1.0</v>
      </c>
      <c r="U12" s="16"/>
      <c r="V12" s="18">
        <v>1.0</v>
      </c>
      <c r="W12" s="16"/>
      <c r="X12" s="16"/>
      <c r="Y12" s="18">
        <v>1.0</v>
      </c>
      <c r="Z12" s="16"/>
      <c r="AA12" s="18">
        <v>1.0</v>
      </c>
      <c r="AB12" s="16"/>
      <c r="AC12" s="18">
        <v>1.0</v>
      </c>
      <c r="AD12" s="16"/>
      <c r="AE12" s="16"/>
      <c r="AF12" s="16"/>
      <c r="AG12" s="18">
        <v>1.0</v>
      </c>
      <c r="AH12" s="16"/>
      <c r="AI12" s="18">
        <v>1.0</v>
      </c>
      <c r="AJ12" s="16"/>
      <c r="AK12" s="18">
        <v>1.0</v>
      </c>
      <c r="AL12" s="16"/>
      <c r="AM12" s="16"/>
      <c r="AN12" s="16"/>
      <c r="AO12" s="31">
        <f t="shared" ref="AO12:AO21" si="2">AN12+AM12+AL12+AK12+AJ12+AI12+AH12+AG12+AF12+AE12+AD12+AC12+AB12+AA12+Z12+Y12+X12+W12+V12+U12+T12+S12+R12+Q12+P12+O12+N12+M12+L12+K12+J12</f>
        <v>12</v>
      </c>
      <c r="AP12" s="75"/>
    </row>
    <row r="13">
      <c r="A13" s="55"/>
      <c r="B13" s="7" t="s">
        <v>80</v>
      </c>
      <c r="C13" s="19" t="s">
        <v>15</v>
      </c>
      <c r="D13" s="10" t="s">
        <v>47</v>
      </c>
      <c r="E13" s="23"/>
      <c r="F13" s="24" t="s">
        <v>17</v>
      </c>
      <c r="G13" s="74" t="s">
        <v>84</v>
      </c>
      <c r="H13" s="74" t="s">
        <v>85</v>
      </c>
      <c r="I13" s="25" t="s">
        <v>25</v>
      </c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2"/>
      <c r="AD13" s="64"/>
      <c r="AE13" s="64"/>
      <c r="AF13" s="64"/>
      <c r="AG13" s="64"/>
      <c r="AH13" s="64"/>
      <c r="AI13" s="64"/>
      <c r="AJ13" s="64"/>
      <c r="AK13" s="64"/>
      <c r="AL13" s="16"/>
      <c r="AM13" s="16"/>
      <c r="AN13" s="16"/>
      <c r="AO13" s="31">
        <f t="shared" si="2"/>
        <v>0</v>
      </c>
      <c r="AP13" s="75"/>
    </row>
    <row r="14" ht="18.75" customHeight="1">
      <c r="A14" s="55"/>
      <c r="B14" s="7" t="s">
        <v>86</v>
      </c>
      <c r="C14" s="19" t="s">
        <v>56</v>
      </c>
      <c r="D14" s="10" t="s">
        <v>16</v>
      </c>
      <c r="E14" s="23">
        <v>46077.0</v>
      </c>
      <c r="F14" s="24" t="s">
        <v>17</v>
      </c>
      <c r="G14" s="74" t="s">
        <v>57</v>
      </c>
      <c r="H14" s="74" t="s">
        <v>60</v>
      </c>
      <c r="I14" s="25" t="s">
        <v>30</v>
      </c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2"/>
      <c r="AD14" s="64"/>
      <c r="AE14" s="64"/>
      <c r="AF14" s="64"/>
      <c r="AG14" s="18">
        <v>1.0</v>
      </c>
      <c r="AH14" s="16"/>
      <c r="AI14" s="18">
        <v>1.0</v>
      </c>
      <c r="AJ14" s="16"/>
      <c r="AK14" s="16"/>
      <c r="AL14" s="16"/>
      <c r="AM14" s="16"/>
      <c r="AN14" s="16"/>
      <c r="AO14" s="31">
        <f t="shared" si="2"/>
        <v>2</v>
      </c>
      <c r="AP14" s="75"/>
    </row>
    <row r="15">
      <c r="A15" s="55"/>
      <c r="B15" s="7" t="s">
        <v>89</v>
      </c>
      <c r="C15" s="9" t="s">
        <v>44</v>
      </c>
      <c r="D15" s="10"/>
      <c r="E15" s="11"/>
      <c r="F15" s="7" t="s">
        <v>18</v>
      </c>
      <c r="G15" s="12" t="s">
        <v>90</v>
      </c>
      <c r="H15" s="12" t="s">
        <v>91</v>
      </c>
      <c r="I15" s="14" t="s">
        <v>30</v>
      </c>
      <c r="J15" s="16"/>
      <c r="K15" s="16"/>
      <c r="L15" s="18">
        <v>1.0</v>
      </c>
      <c r="M15" s="16"/>
      <c r="N15" s="18">
        <v>1.0</v>
      </c>
      <c r="O15" s="16"/>
      <c r="P15" s="16"/>
      <c r="Q15" s="16"/>
      <c r="R15" s="16"/>
      <c r="S15" s="18">
        <v>1.0</v>
      </c>
      <c r="T15" s="16"/>
      <c r="U15" s="18">
        <v>1.0</v>
      </c>
      <c r="V15" s="16"/>
      <c r="W15" s="16"/>
      <c r="X15" s="16"/>
      <c r="Y15" s="16"/>
      <c r="Z15" s="18">
        <v>1.0</v>
      </c>
      <c r="AA15" s="16"/>
      <c r="AB15" s="18">
        <v>1.0</v>
      </c>
      <c r="AC15" s="18"/>
      <c r="AD15" s="16"/>
      <c r="AE15" s="18"/>
      <c r="AF15" s="16"/>
      <c r="AG15" s="18">
        <v>1.0</v>
      </c>
      <c r="AH15" s="16"/>
      <c r="AI15" s="18">
        <v>1.0</v>
      </c>
      <c r="AJ15" s="18"/>
      <c r="AK15" s="16"/>
      <c r="AL15" s="18"/>
      <c r="AM15" s="16"/>
      <c r="AN15" s="16"/>
      <c r="AO15" s="31">
        <f t="shared" si="2"/>
        <v>8</v>
      </c>
      <c r="AP15" s="75"/>
    </row>
    <row r="16">
      <c r="A16" s="55"/>
      <c r="B16" s="24" t="s">
        <v>100</v>
      </c>
      <c r="C16" s="19" t="s">
        <v>15</v>
      </c>
      <c r="D16" s="21"/>
      <c r="E16" s="23"/>
      <c r="F16" s="24" t="s">
        <v>101</v>
      </c>
      <c r="G16" s="24" t="s">
        <v>102</v>
      </c>
      <c r="H16" s="24" t="s">
        <v>103</v>
      </c>
      <c r="I16" s="25" t="s">
        <v>73</v>
      </c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6"/>
      <c r="AM16" s="16"/>
      <c r="AN16" s="16"/>
      <c r="AO16" s="31">
        <f t="shared" si="2"/>
        <v>0</v>
      </c>
      <c r="AP16" s="28"/>
    </row>
    <row r="17">
      <c r="A17" s="55"/>
      <c r="B17" s="24" t="s">
        <v>111</v>
      </c>
      <c r="C17" s="19" t="s">
        <v>56</v>
      </c>
      <c r="D17" s="10"/>
      <c r="E17" s="11"/>
      <c r="F17" s="24" t="s">
        <v>112</v>
      </c>
      <c r="G17" s="44" t="s">
        <v>113</v>
      </c>
      <c r="H17" s="44" t="s">
        <v>115</v>
      </c>
      <c r="I17" s="25" t="s">
        <v>25</v>
      </c>
      <c r="J17" s="16"/>
      <c r="K17" s="18">
        <v>1.0</v>
      </c>
      <c r="L17" s="16"/>
      <c r="M17" s="18">
        <v>1.0</v>
      </c>
      <c r="N17" s="16"/>
      <c r="O17" s="18">
        <v>1.0</v>
      </c>
      <c r="P17" s="18"/>
      <c r="Q17" s="16"/>
      <c r="R17" s="18">
        <v>1.0</v>
      </c>
      <c r="S17" s="16"/>
      <c r="T17" s="18">
        <v>1.0</v>
      </c>
      <c r="U17" s="16"/>
      <c r="V17" s="18">
        <v>1.0</v>
      </c>
      <c r="W17" s="16"/>
      <c r="X17" s="7"/>
      <c r="Y17" s="7">
        <v>1.0</v>
      </c>
      <c r="Z17" s="7"/>
      <c r="AA17" s="7">
        <v>1.0</v>
      </c>
      <c r="AB17" s="7"/>
      <c r="AC17" s="7">
        <v>1.0</v>
      </c>
      <c r="AD17" s="7"/>
      <c r="AE17" s="7"/>
      <c r="AF17" s="7"/>
      <c r="AG17" s="7">
        <v>1.0</v>
      </c>
      <c r="AH17" s="7"/>
      <c r="AI17" s="7">
        <v>1.0</v>
      </c>
      <c r="AJ17" s="7"/>
      <c r="AK17" s="7">
        <v>1.0</v>
      </c>
      <c r="AL17" s="80"/>
      <c r="AM17" s="80"/>
      <c r="AN17" s="80"/>
      <c r="AO17" s="31">
        <f t="shared" si="2"/>
        <v>12</v>
      </c>
      <c r="AP17" s="75"/>
    </row>
    <row r="18">
      <c r="A18" s="55"/>
      <c r="B18" s="67" t="s">
        <v>129</v>
      </c>
      <c r="C18" s="19" t="s">
        <v>56</v>
      </c>
      <c r="D18" s="10" t="s">
        <v>16</v>
      </c>
      <c r="E18" s="11">
        <v>46055.0</v>
      </c>
      <c r="F18" s="7" t="s">
        <v>18</v>
      </c>
      <c r="G18" s="74" t="s">
        <v>57</v>
      </c>
      <c r="H18" s="74" t="s">
        <v>60</v>
      </c>
      <c r="I18" s="25" t="s">
        <v>25</v>
      </c>
      <c r="J18" s="16"/>
      <c r="K18" s="16"/>
      <c r="L18" s="18">
        <v>1.0</v>
      </c>
      <c r="M18" s="16"/>
      <c r="N18" s="63"/>
      <c r="O18" s="63"/>
      <c r="P18" s="82"/>
      <c r="Q18" s="63"/>
      <c r="R18" s="82"/>
      <c r="S18" s="63"/>
      <c r="T18" s="63"/>
      <c r="U18" s="63"/>
      <c r="V18" s="63"/>
      <c r="W18" s="6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31">
        <f t="shared" si="2"/>
        <v>1</v>
      </c>
      <c r="AP18" s="75"/>
    </row>
    <row r="19">
      <c r="A19" s="55"/>
      <c r="B19" s="24" t="s">
        <v>123</v>
      </c>
      <c r="C19" s="19" t="s">
        <v>44</v>
      </c>
      <c r="D19" s="21"/>
      <c r="E19" s="23"/>
      <c r="F19" s="24" t="s">
        <v>130</v>
      </c>
      <c r="G19" s="24" t="s">
        <v>114</v>
      </c>
      <c r="H19" s="24" t="s">
        <v>116</v>
      </c>
      <c r="I19" s="25" t="s">
        <v>24</v>
      </c>
      <c r="J19" s="17"/>
      <c r="K19" s="17"/>
      <c r="L19" s="17"/>
      <c r="M19" s="17"/>
      <c r="N19" s="22"/>
      <c r="O19" s="22"/>
      <c r="P19" s="22"/>
      <c r="Q19" s="22"/>
      <c r="R19" s="22"/>
      <c r="S19" s="17"/>
      <c r="T19" s="17"/>
      <c r="U19" s="22"/>
      <c r="V19" s="22"/>
      <c r="W19" s="22"/>
      <c r="X19" s="22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6"/>
      <c r="AM19" s="16"/>
      <c r="AN19" s="16"/>
      <c r="AO19" s="31">
        <f t="shared" si="2"/>
        <v>0</v>
      </c>
      <c r="AP19" s="78"/>
    </row>
    <row r="20">
      <c r="A20" s="55"/>
      <c r="B20" s="24" t="s">
        <v>123</v>
      </c>
      <c r="C20" s="19" t="s">
        <v>44</v>
      </c>
      <c r="D20" s="21"/>
      <c r="E20" s="23"/>
      <c r="F20" s="24" t="s">
        <v>124</v>
      </c>
      <c r="G20" s="24" t="s">
        <v>125</v>
      </c>
      <c r="H20" s="24" t="s">
        <v>126</v>
      </c>
      <c r="I20" s="25" t="s">
        <v>24</v>
      </c>
      <c r="J20" s="17"/>
      <c r="K20" s="17"/>
      <c r="L20" s="17"/>
      <c r="M20" s="17"/>
      <c r="N20" s="22"/>
      <c r="O20" s="22"/>
      <c r="P20" s="22"/>
      <c r="Q20" s="22"/>
      <c r="R20" s="22"/>
      <c r="S20" s="17"/>
      <c r="T20" s="17"/>
      <c r="U20" s="22"/>
      <c r="V20" s="22"/>
      <c r="W20" s="22"/>
      <c r="X20" s="22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6"/>
      <c r="AM20" s="16"/>
      <c r="AN20" s="16"/>
      <c r="AO20" s="31">
        <f t="shared" si="2"/>
        <v>0</v>
      </c>
      <c r="AP20" s="78"/>
    </row>
    <row r="21">
      <c r="A21" s="55"/>
      <c r="B21" s="24" t="s">
        <v>131</v>
      </c>
      <c r="C21" s="19" t="s">
        <v>79</v>
      </c>
      <c r="D21" s="21" t="s">
        <v>16</v>
      </c>
      <c r="E21" s="23">
        <v>46076.0</v>
      </c>
      <c r="F21" s="24" t="s">
        <v>18</v>
      </c>
      <c r="G21" s="24" t="s">
        <v>121</v>
      </c>
      <c r="H21" s="24" t="s">
        <v>122</v>
      </c>
      <c r="I21" s="25" t="s">
        <v>25</v>
      </c>
      <c r="J21" s="15"/>
      <c r="K21" s="15"/>
      <c r="L21" s="15"/>
      <c r="M21" s="15"/>
      <c r="N21" s="20"/>
      <c r="O21" s="20"/>
      <c r="P21" s="20"/>
      <c r="Q21" s="20"/>
      <c r="R21" s="20"/>
      <c r="S21" s="15"/>
      <c r="T21" s="15"/>
      <c r="U21" s="20"/>
      <c r="V21" s="20"/>
      <c r="W21" s="20"/>
      <c r="X21" s="20"/>
      <c r="Y21" s="15"/>
      <c r="Z21" s="15"/>
      <c r="AA21" s="15"/>
      <c r="AB21" s="15"/>
      <c r="AC21" s="15"/>
      <c r="AD21" s="15"/>
      <c r="AE21" s="15"/>
      <c r="AF21" s="18">
        <v>1.0</v>
      </c>
      <c r="AG21" s="16"/>
      <c r="AH21" s="18">
        <v>1.0</v>
      </c>
      <c r="AI21" s="16"/>
      <c r="AJ21" s="18">
        <v>1.0</v>
      </c>
      <c r="AK21" s="16"/>
      <c r="AL21" s="16"/>
      <c r="AM21" s="16"/>
      <c r="AN21" s="16"/>
      <c r="AO21" s="31">
        <f t="shared" si="2"/>
        <v>3</v>
      </c>
      <c r="AP21" s="78"/>
    </row>
    <row r="22">
      <c r="C22" s="47"/>
    </row>
    <row r="23">
      <c r="C23" s="48"/>
    </row>
    <row r="24">
      <c r="C24" s="48"/>
    </row>
    <row r="25">
      <c r="C25" s="48"/>
    </row>
    <row r="26">
      <c r="C26" s="48"/>
    </row>
    <row r="27">
      <c r="C27" s="48"/>
    </row>
  </sheetData>
  <dataValidations>
    <dataValidation type="list" allowBlank="1" showErrorMessage="1" sqref="I2:I21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21">
      <formula1>"NOVO PACIENTE,READMISSÃO,TROCA,INTENSIFICAÇÃO,DESMAME,COBERTURA,REVEZAMENTO"</formula1>
    </dataValidation>
    <dataValidation type="list" allowBlank="1" showErrorMessage="1" sqref="C2:C21">
      <formula1>"ECONOMUS,CABESP,ALICE SAÚDE,VIVEST,PORTO SEGURO,CARE PLUS,OMINT"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38.38"/>
    <col customWidth="1" min="3" max="3" width="18.75"/>
    <col customWidth="1" min="4" max="4" width="19.38"/>
    <col customWidth="1" min="6" max="6" width="21.88"/>
    <col customWidth="1" min="7" max="7" width="31.38"/>
    <col customWidth="1" min="8" max="8" width="15.0"/>
    <col customWidth="1" min="9" max="9" width="15.25"/>
    <col customWidth="1" min="10" max="40" width="4.3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  <c r="AP1" s="4"/>
    </row>
    <row r="2">
      <c r="A2" s="6" t="s">
        <v>11</v>
      </c>
      <c r="B2" s="7" t="s">
        <v>12</v>
      </c>
      <c r="C2" s="9" t="s">
        <v>14</v>
      </c>
      <c r="D2" s="10"/>
      <c r="E2" s="11"/>
      <c r="F2" s="7" t="s">
        <v>17</v>
      </c>
      <c r="G2" s="13" t="s">
        <v>20</v>
      </c>
      <c r="H2" s="13" t="s">
        <v>23</v>
      </c>
      <c r="I2" s="14" t="s">
        <v>25</v>
      </c>
      <c r="J2" s="16"/>
      <c r="K2" s="18">
        <v>1.0</v>
      </c>
      <c r="L2" s="16"/>
      <c r="M2" s="18">
        <v>1.0</v>
      </c>
      <c r="N2" s="16"/>
      <c r="O2" s="18">
        <v>1.0</v>
      </c>
      <c r="P2" s="16"/>
      <c r="Q2" s="16"/>
      <c r="R2" s="18">
        <v>1.0</v>
      </c>
      <c r="S2" s="16"/>
      <c r="T2" s="18">
        <v>1.0</v>
      </c>
      <c r="U2" s="18"/>
      <c r="V2" s="18">
        <v>1.0</v>
      </c>
      <c r="W2" s="18"/>
      <c r="X2" s="16"/>
      <c r="Y2" s="18">
        <v>1.0</v>
      </c>
      <c r="Z2" s="16"/>
      <c r="AA2" s="18"/>
      <c r="AB2" s="16"/>
      <c r="AC2" s="18"/>
      <c r="AD2" s="16"/>
      <c r="AE2" s="16"/>
      <c r="AF2" s="18"/>
      <c r="AG2" s="16"/>
      <c r="AH2" s="18"/>
      <c r="AI2" s="16"/>
      <c r="AJ2" s="18"/>
      <c r="AK2" s="16"/>
      <c r="AL2" s="16"/>
      <c r="AM2" s="18"/>
      <c r="AN2" s="16"/>
      <c r="AO2" s="31">
        <f t="shared" ref="AO2:AO22" si="1">AN2+AM2+AL2+AK2+AJ2+AI2+AH2+AG2+AF2+AE2+AD2+AC2+AB2+AA2+Z2+Y2+X2+W2+V2+U2+T2+S2+R2+Q2+P2+O2+N2+M2+L2+K2+J2</f>
        <v>7</v>
      </c>
      <c r="AP2" s="32" t="s">
        <v>34</v>
      </c>
    </row>
    <row r="3">
      <c r="A3" s="30" t="s">
        <v>32</v>
      </c>
      <c r="B3" s="33" t="s">
        <v>12</v>
      </c>
      <c r="C3" s="19" t="s">
        <v>14</v>
      </c>
      <c r="D3" s="10" t="s">
        <v>35</v>
      </c>
      <c r="E3" s="23">
        <v>46090.0</v>
      </c>
      <c r="F3" s="24" t="s">
        <v>17</v>
      </c>
      <c r="G3" s="35" t="s">
        <v>38</v>
      </c>
      <c r="H3" s="35" t="s">
        <v>39</v>
      </c>
      <c r="I3" s="25" t="s">
        <v>25</v>
      </c>
      <c r="J3" s="16"/>
      <c r="K3" s="16"/>
      <c r="L3" s="16"/>
      <c r="M3" s="16"/>
      <c r="N3" s="16"/>
      <c r="O3" s="16"/>
      <c r="P3" s="16"/>
      <c r="Q3" s="16"/>
      <c r="R3" s="18"/>
      <c r="S3" s="16"/>
      <c r="T3" s="16"/>
      <c r="U3" s="18"/>
      <c r="V3" s="16"/>
      <c r="W3" s="18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31">
        <f t="shared" si="1"/>
        <v>0</v>
      </c>
      <c r="AP3" s="32" t="s">
        <v>34</v>
      </c>
    </row>
    <row r="4">
      <c r="A4" s="37" t="s">
        <v>40</v>
      </c>
      <c r="B4" s="33" t="s">
        <v>48</v>
      </c>
      <c r="C4" s="19" t="s">
        <v>14</v>
      </c>
      <c r="D4" s="10" t="s">
        <v>47</v>
      </c>
      <c r="E4" s="23">
        <v>46097.0</v>
      </c>
      <c r="F4" s="7" t="s">
        <v>17</v>
      </c>
      <c r="G4" s="35" t="s">
        <v>49</v>
      </c>
      <c r="H4" s="39" t="s">
        <v>50</v>
      </c>
      <c r="I4" s="40" t="s">
        <v>25</v>
      </c>
      <c r="J4" s="16"/>
      <c r="K4" s="18"/>
      <c r="L4" s="16"/>
      <c r="M4" s="18"/>
      <c r="N4" s="16"/>
      <c r="O4" s="18"/>
      <c r="P4" s="16"/>
      <c r="Q4" s="16"/>
      <c r="R4" s="18"/>
      <c r="S4" s="16"/>
      <c r="T4" s="18"/>
      <c r="U4" s="18"/>
      <c r="V4" s="18"/>
      <c r="W4" s="18"/>
      <c r="X4" s="16"/>
      <c r="Y4" s="18"/>
      <c r="Z4" s="16"/>
      <c r="AA4" s="18">
        <v>1.0</v>
      </c>
      <c r="AB4" s="16"/>
      <c r="AC4" s="18">
        <v>1.0</v>
      </c>
      <c r="AD4" s="16"/>
      <c r="AE4" s="16"/>
      <c r="AF4" s="18">
        <v>1.0</v>
      </c>
      <c r="AG4" s="16"/>
      <c r="AH4" s="18">
        <v>1.0</v>
      </c>
      <c r="AI4" s="16"/>
      <c r="AJ4" s="18">
        <v>1.0</v>
      </c>
      <c r="AK4" s="16"/>
      <c r="AL4" s="16"/>
      <c r="AM4" s="18">
        <v>1.0</v>
      </c>
      <c r="AN4" s="16"/>
      <c r="AO4" s="31">
        <f t="shared" si="1"/>
        <v>6</v>
      </c>
      <c r="AP4" s="32" t="s">
        <v>34</v>
      </c>
    </row>
    <row r="5">
      <c r="A5" s="43" t="s">
        <v>52</v>
      </c>
      <c r="B5" s="7" t="s">
        <v>12</v>
      </c>
      <c r="C5" s="9" t="s">
        <v>14</v>
      </c>
      <c r="D5" s="10" t="s">
        <v>47</v>
      </c>
      <c r="E5" s="11">
        <v>46114.0</v>
      </c>
      <c r="F5" s="7" t="s">
        <v>17</v>
      </c>
      <c r="G5" s="13" t="s">
        <v>20</v>
      </c>
      <c r="H5" s="13" t="s">
        <v>23</v>
      </c>
      <c r="I5" s="14" t="s">
        <v>25</v>
      </c>
      <c r="J5" s="16"/>
      <c r="K5" s="18"/>
      <c r="L5" s="16"/>
      <c r="M5" s="18"/>
      <c r="N5" s="16"/>
      <c r="O5" s="18"/>
      <c r="P5" s="16"/>
      <c r="Q5" s="16"/>
      <c r="R5" s="18"/>
      <c r="S5" s="16"/>
      <c r="T5" s="18"/>
      <c r="U5" s="18"/>
      <c r="V5" s="18"/>
      <c r="W5" s="18"/>
      <c r="X5" s="16"/>
      <c r="Y5" s="18"/>
      <c r="Z5" s="16"/>
      <c r="AA5" s="18"/>
      <c r="AB5" s="16"/>
      <c r="AC5" s="18"/>
      <c r="AD5" s="16"/>
      <c r="AE5" s="16"/>
      <c r="AF5" s="18"/>
      <c r="AG5" s="16"/>
      <c r="AH5" s="18"/>
      <c r="AI5" s="16"/>
      <c r="AJ5" s="18"/>
      <c r="AK5" s="16"/>
      <c r="AL5" s="16"/>
      <c r="AM5" s="18"/>
      <c r="AN5" s="16"/>
      <c r="AO5" s="31">
        <f t="shared" si="1"/>
        <v>0</v>
      </c>
      <c r="AP5" s="32" t="s">
        <v>34</v>
      </c>
    </row>
    <row r="6">
      <c r="A6" s="49"/>
      <c r="B6" s="50" t="s">
        <v>61</v>
      </c>
      <c r="C6" s="19" t="s">
        <v>26</v>
      </c>
      <c r="D6" s="10"/>
      <c r="E6" s="23"/>
      <c r="F6" s="24" t="s">
        <v>18</v>
      </c>
      <c r="G6" s="24" t="s">
        <v>63</v>
      </c>
      <c r="H6" s="24" t="s">
        <v>65</v>
      </c>
      <c r="I6" s="25" t="s">
        <v>25</v>
      </c>
      <c r="J6" s="16"/>
      <c r="K6" s="18">
        <v>1.0</v>
      </c>
      <c r="L6" s="16"/>
      <c r="M6" s="18">
        <v>1.0</v>
      </c>
      <c r="N6" s="16"/>
      <c r="O6" s="18">
        <v>1.0</v>
      </c>
      <c r="P6" s="16"/>
      <c r="Q6" s="16"/>
      <c r="R6" s="18">
        <v>1.0</v>
      </c>
      <c r="S6" s="16"/>
      <c r="T6" s="18">
        <v>1.0</v>
      </c>
      <c r="U6" s="18"/>
      <c r="V6" s="18">
        <v>1.0</v>
      </c>
      <c r="W6" s="18"/>
      <c r="X6" s="16"/>
      <c r="Y6" s="18">
        <v>1.0</v>
      </c>
      <c r="Z6" s="16"/>
      <c r="AA6" s="18">
        <v>1.0</v>
      </c>
      <c r="AB6" s="16"/>
      <c r="AC6" s="18">
        <v>1.0</v>
      </c>
      <c r="AD6" s="16"/>
      <c r="AE6" s="16"/>
      <c r="AF6" s="18">
        <v>1.0</v>
      </c>
      <c r="AG6" s="16"/>
      <c r="AH6" s="18">
        <v>1.0</v>
      </c>
      <c r="AI6" s="16"/>
      <c r="AJ6" s="18">
        <v>1.0</v>
      </c>
      <c r="AK6" s="16"/>
      <c r="AL6" s="16"/>
      <c r="AM6" s="18">
        <v>1.0</v>
      </c>
      <c r="AN6" s="16"/>
      <c r="AO6" s="31">
        <f t="shared" si="1"/>
        <v>13</v>
      </c>
      <c r="AP6" s="32" t="s">
        <v>34</v>
      </c>
    </row>
    <row r="7">
      <c r="A7" s="49"/>
      <c r="B7" s="50" t="s">
        <v>61</v>
      </c>
      <c r="C7" s="9" t="s">
        <v>26</v>
      </c>
      <c r="D7" s="10" t="s">
        <v>33</v>
      </c>
      <c r="E7" s="11">
        <v>46113.0</v>
      </c>
      <c r="F7" s="24" t="s">
        <v>18</v>
      </c>
      <c r="G7" s="24" t="s">
        <v>63</v>
      </c>
      <c r="H7" s="24" t="s">
        <v>65</v>
      </c>
      <c r="I7" s="14" t="s">
        <v>30</v>
      </c>
      <c r="J7" s="18"/>
      <c r="K7" s="18"/>
      <c r="L7" s="16"/>
      <c r="M7" s="18"/>
      <c r="N7" s="18"/>
      <c r="O7" s="18"/>
      <c r="P7" s="18"/>
      <c r="Q7" s="18"/>
      <c r="R7" s="18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31">
        <f t="shared" si="1"/>
        <v>0</v>
      </c>
      <c r="AP7" s="32" t="s">
        <v>34</v>
      </c>
    </row>
    <row r="8">
      <c r="A8" s="49"/>
      <c r="B8" s="58" t="s">
        <v>66</v>
      </c>
      <c r="C8" s="9" t="s">
        <v>67</v>
      </c>
      <c r="D8" s="10"/>
      <c r="E8" s="11"/>
      <c r="F8" s="7" t="s">
        <v>18</v>
      </c>
      <c r="G8" s="34" t="s">
        <v>70</v>
      </c>
      <c r="H8" s="12" t="s">
        <v>71</v>
      </c>
      <c r="I8" s="14" t="s">
        <v>25</v>
      </c>
      <c r="J8" s="18"/>
      <c r="K8" s="18">
        <v>1.0</v>
      </c>
      <c r="L8" s="16"/>
      <c r="M8" s="18">
        <v>1.0</v>
      </c>
      <c r="N8" s="18"/>
      <c r="O8" s="18">
        <v>1.0</v>
      </c>
      <c r="P8" s="18"/>
      <c r="Q8" s="18"/>
      <c r="R8" s="18">
        <v>1.0</v>
      </c>
      <c r="S8" s="53"/>
      <c r="T8" s="53">
        <v>1.0</v>
      </c>
      <c r="U8" s="53"/>
      <c r="V8" s="53">
        <v>1.0</v>
      </c>
      <c r="W8" s="53"/>
      <c r="X8" s="53"/>
      <c r="Y8" s="53">
        <v>1.0</v>
      </c>
      <c r="Z8" s="53"/>
      <c r="AA8" s="53"/>
      <c r="AB8" s="53"/>
      <c r="AC8" s="53"/>
      <c r="AD8" s="53"/>
      <c r="AE8" s="53"/>
      <c r="AF8" s="53"/>
      <c r="AG8" s="61"/>
      <c r="AH8" s="61"/>
      <c r="AI8" s="61"/>
      <c r="AJ8" s="61"/>
      <c r="AK8" s="61"/>
      <c r="AL8" s="61"/>
      <c r="AM8" s="61"/>
      <c r="AN8" s="61"/>
      <c r="AO8" s="31">
        <f t="shared" si="1"/>
        <v>7</v>
      </c>
      <c r="AP8" s="28"/>
    </row>
    <row r="9">
      <c r="A9" s="49"/>
      <c r="B9" s="65" t="s">
        <v>72</v>
      </c>
      <c r="C9" s="9" t="s">
        <v>56</v>
      </c>
      <c r="D9" s="10"/>
      <c r="E9" s="11"/>
      <c r="F9" s="7" t="s">
        <v>18</v>
      </c>
      <c r="G9" s="44" t="s">
        <v>45</v>
      </c>
      <c r="H9" s="44" t="s">
        <v>46</v>
      </c>
      <c r="I9" s="14" t="s">
        <v>73</v>
      </c>
      <c r="J9" s="18">
        <v>1.0</v>
      </c>
      <c r="K9" s="18">
        <v>1.0</v>
      </c>
      <c r="L9" s="18">
        <v>1.0</v>
      </c>
      <c r="M9" s="18">
        <v>1.0</v>
      </c>
      <c r="N9" s="18">
        <v>1.0</v>
      </c>
      <c r="O9" s="18">
        <v>1.0</v>
      </c>
      <c r="P9" s="66">
        <v>1.0</v>
      </c>
      <c r="Q9" s="66">
        <v>1.0</v>
      </c>
      <c r="R9" s="66">
        <v>1.0</v>
      </c>
      <c r="S9" s="57">
        <v>1.0</v>
      </c>
      <c r="T9" s="57">
        <v>1.0</v>
      </c>
      <c r="U9" s="57">
        <v>1.0</v>
      </c>
      <c r="V9" s="57">
        <v>1.0</v>
      </c>
      <c r="W9" s="57">
        <v>1.0</v>
      </c>
      <c r="X9" s="57">
        <v>1.0</v>
      </c>
      <c r="Y9" s="57">
        <v>1.0</v>
      </c>
      <c r="Z9" s="57">
        <v>1.0</v>
      </c>
      <c r="AA9" s="57">
        <v>1.0</v>
      </c>
      <c r="AB9" s="57">
        <v>1.0</v>
      </c>
      <c r="AC9" s="57">
        <v>1.0</v>
      </c>
      <c r="AD9" s="57">
        <v>1.0</v>
      </c>
      <c r="AE9" s="57">
        <v>1.0</v>
      </c>
      <c r="AF9" s="57">
        <v>1.0</v>
      </c>
      <c r="AG9" s="57">
        <v>1.0</v>
      </c>
      <c r="AH9" s="57">
        <v>1.0</v>
      </c>
      <c r="AI9" s="57">
        <v>1.0</v>
      </c>
      <c r="AJ9" s="57">
        <v>1.0</v>
      </c>
      <c r="AK9" s="57">
        <v>1.0</v>
      </c>
      <c r="AL9" s="69">
        <v>1.0</v>
      </c>
      <c r="AM9" s="69">
        <v>1.0</v>
      </c>
      <c r="AN9" s="69">
        <v>1.0</v>
      </c>
      <c r="AO9" s="31">
        <f t="shared" si="1"/>
        <v>31</v>
      </c>
      <c r="AP9" s="32" t="s">
        <v>34</v>
      </c>
    </row>
    <row r="10">
      <c r="A10" s="49"/>
      <c r="B10" s="71" t="s">
        <v>41</v>
      </c>
      <c r="C10" s="9" t="s">
        <v>15</v>
      </c>
      <c r="D10" s="10"/>
      <c r="E10" s="11"/>
      <c r="F10" s="7" t="s">
        <v>18</v>
      </c>
      <c r="G10" s="7" t="s">
        <v>75</v>
      </c>
      <c r="H10" s="7" t="s">
        <v>76</v>
      </c>
      <c r="I10" s="14" t="s">
        <v>25</v>
      </c>
      <c r="J10" s="16"/>
      <c r="K10" s="18">
        <v>1.0</v>
      </c>
      <c r="L10" s="16"/>
      <c r="M10" s="18">
        <v>1.0</v>
      </c>
      <c r="N10" s="16"/>
      <c r="O10" s="18">
        <v>1.0</v>
      </c>
      <c r="P10" s="16"/>
      <c r="Q10" s="16"/>
      <c r="R10" s="18">
        <v>1.0</v>
      </c>
      <c r="S10" s="16"/>
      <c r="T10" s="18">
        <v>1.0</v>
      </c>
      <c r="U10" s="16"/>
      <c r="V10" s="18">
        <v>1.0</v>
      </c>
      <c r="W10" s="16"/>
      <c r="X10" s="16"/>
      <c r="Y10" s="18">
        <v>1.0</v>
      </c>
      <c r="Z10" s="16"/>
      <c r="AA10" s="18">
        <v>1.0</v>
      </c>
      <c r="AB10" s="16"/>
      <c r="AC10" s="18">
        <v>1.0</v>
      </c>
      <c r="AD10" s="16"/>
      <c r="AE10" s="16"/>
      <c r="AF10" s="18">
        <v>1.0</v>
      </c>
      <c r="AG10" s="16"/>
      <c r="AH10" s="18">
        <v>1.0</v>
      </c>
      <c r="AI10" s="16"/>
      <c r="AJ10" s="18">
        <v>1.0</v>
      </c>
      <c r="AK10" s="16"/>
      <c r="AL10" s="16"/>
      <c r="AM10" s="18">
        <v>1.0</v>
      </c>
      <c r="AN10" s="16"/>
      <c r="AO10" s="31">
        <f t="shared" si="1"/>
        <v>13</v>
      </c>
      <c r="AP10" s="32" t="s">
        <v>34</v>
      </c>
    </row>
    <row r="11">
      <c r="B11" s="8" t="s">
        <v>80</v>
      </c>
      <c r="C11" s="19" t="s">
        <v>15</v>
      </c>
      <c r="D11" s="10"/>
      <c r="E11" s="23"/>
      <c r="F11" s="24" t="s">
        <v>17</v>
      </c>
      <c r="G11" s="74" t="s">
        <v>84</v>
      </c>
      <c r="H11" s="74" t="s">
        <v>85</v>
      </c>
      <c r="I11" s="25" t="s">
        <v>25</v>
      </c>
      <c r="J11" s="16"/>
      <c r="K11" s="16"/>
      <c r="L11" s="16"/>
      <c r="M11" s="16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31">
        <f t="shared" si="1"/>
        <v>0</v>
      </c>
      <c r="AP11" s="75"/>
    </row>
    <row r="12" ht="18.75" customHeight="1">
      <c r="B12" s="7" t="s">
        <v>86</v>
      </c>
      <c r="C12" s="19" t="s">
        <v>56</v>
      </c>
      <c r="D12" s="10"/>
      <c r="E12" s="23"/>
      <c r="F12" s="24" t="s">
        <v>17</v>
      </c>
      <c r="G12" s="74" t="s">
        <v>57</v>
      </c>
      <c r="H12" s="74" t="s">
        <v>60</v>
      </c>
      <c r="I12" s="25" t="s">
        <v>30</v>
      </c>
      <c r="J12" s="16"/>
      <c r="K12" s="16"/>
      <c r="L12" s="18">
        <v>1.0</v>
      </c>
      <c r="M12" s="16"/>
      <c r="N12" s="18">
        <v>1.0</v>
      </c>
      <c r="O12" s="16"/>
      <c r="P12" s="16"/>
      <c r="Q12" s="16"/>
      <c r="R12" s="16"/>
      <c r="S12" s="18">
        <v>1.0</v>
      </c>
      <c r="T12" s="16"/>
      <c r="U12" s="18">
        <v>1.0</v>
      </c>
      <c r="V12" s="16"/>
      <c r="W12" s="16"/>
      <c r="X12" s="16"/>
      <c r="Y12" s="16"/>
      <c r="Z12" s="18">
        <v>1.0</v>
      </c>
      <c r="AA12" s="16"/>
      <c r="AB12" s="18">
        <v>1.0</v>
      </c>
      <c r="AC12" s="18"/>
      <c r="AD12" s="16"/>
      <c r="AE12" s="16"/>
      <c r="AF12" s="16"/>
      <c r="AG12" s="18">
        <v>1.0</v>
      </c>
      <c r="AH12" s="16"/>
      <c r="AI12" s="18">
        <v>1.0</v>
      </c>
      <c r="AJ12" s="16"/>
      <c r="AK12" s="16"/>
      <c r="AL12" s="16"/>
      <c r="AM12" s="16"/>
      <c r="AN12" s="18">
        <v>1.0</v>
      </c>
      <c r="AO12" s="31">
        <f t="shared" si="1"/>
        <v>9</v>
      </c>
      <c r="AP12" s="75" t="s">
        <v>34</v>
      </c>
    </row>
    <row r="13">
      <c r="B13" s="57" t="s">
        <v>89</v>
      </c>
      <c r="C13" s="9" t="s">
        <v>44</v>
      </c>
      <c r="D13" s="10"/>
      <c r="E13" s="11"/>
      <c r="F13" s="7" t="s">
        <v>18</v>
      </c>
      <c r="G13" s="12" t="s">
        <v>90</v>
      </c>
      <c r="H13" s="12" t="s">
        <v>91</v>
      </c>
      <c r="I13" s="14" t="s">
        <v>30</v>
      </c>
      <c r="J13" s="16"/>
      <c r="K13" s="16"/>
      <c r="L13" s="18">
        <v>1.0</v>
      </c>
      <c r="M13" s="16"/>
      <c r="N13" s="18">
        <v>1.0</v>
      </c>
      <c r="O13" s="16"/>
      <c r="P13" s="16"/>
      <c r="Q13" s="16"/>
      <c r="R13" s="16"/>
      <c r="S13" s="18">
        <v>1.0</v>
      </c>
      <c r="T13" s="16"/>
      <c r="U13" s="18">
        <v>1.0</v>
      </c>
      <c r="V13" s="16"/>
      <c r="W13" s="16"/>
      <c r="X13" s="63"/>
      <c r="Y13" s="16"/>
      <c r="Z13" s="18">
        <v>1.0</v>
      </c>
      <c r="AA13" s="16"/>
      <c r="AB13" s="18">
        <v>1.0</v>
      </c>
      <c r="AC13" s="16"/>
      <c r="AD13" s="16"/>
      <c r="AE13" s="16"/>
      <c r="AF13" s="16"/>
      <c r="AG13" s="18">
        <v>1.0</v>
      </c>
      <c r="AH13" s="16"/>
      <c r="AI13" s="18">
        <v>1.0</v>
      </c>
      <c r="AJ13" s="16"/>
      <c r="AK13" s="16"/>
      <c r="AL13" s="16"/>
      <c r="AM13" s="18">
        <v>1.0</v>
      </c>
      <c r="AN13" s="16"/>
      <c r="AO13" s="31">
        <f t="shared" si="1"/>
        <v>9</v>
      </c>
      <c r="AP13" s="75" t="s">
        <v>34</v>
      </c>
    </row>
    <row r="14">
      <c r="A14" s="55"/>
      <c r="B14" s="7" t="s">
        <v>92</v>
      </c>
      <c r="C14" s="19" t="s">
        <v>93</v>
      </c>
      <c r="D14" s="10" t="s">
        <v>16</v>
      </c>
      <c r="E14" s="23">
        <v>46090.0</v>
      </c>
      <c r="F14" s="7" t="s">
        <v>18</v>
      </c>
      <c r="G14" s="77" t="s">
        <v>94</v>
      </c>
      <c r="H14" s="24" t="s">
        <v>95</v>
      </c>
      <c r="I14" s="25" t="s">
        <v>24</v>
      </c>
      <c r="J14" s="15"/>
      <c r="K14" s="15"/>
      <c r="L14" s="15"/>
      <c r="M14" s="15"/>
      <c r="N14" s="15"/>
      <c r="O14" s="15"/>
      <c r="P14" s="15"/>
      <c r="Q14" s="15"/>
      <c r="R14" s="18">
        <v>1.0</v>
      </c>
      <c r="S14" s="18">
        <v>1.0</v>
      </c>
      <c r="T14" s="18">
        <v>1.0</v>
      </c>
      <c r="U14" s="18">
        <v>1.0</v>
      </c>
      <c r="V14" s="18">
        <v>1.0</v>
      </c>
      <c r="W14" s="16"/>
      <c r="X14" s="16"/>
      <c r="Y14" s="18">
        <v>1.0</v>
      </c>
      <c r="Z14" s="18">
        <v>1.0</v>
      </c>
      <c r="AA14" s="18">
        <v>1.0</v>
      </c>
      <c r="AB14" s="18">
        <v>1.0</v>
      </c>
      <c r="AC14" s="18">
        <v>1.0</v>
      </c>
      <c r="AD14" s="16"/>
      <c r="AE14" s="16"/>
      <c r="AF14" s="18">
        <v>1.0</v>
      </c>
      <c r="AG14" s="18">
        <v>1.0</v>
      </c>
      <c r="AH14" s="18">
        <v>1.0</v>
      </c>
      <c r="AI14" s="18">
        <v>1.0</v>
      </c>
      <c r="AJ14" s="18">
        <v>1.0</v>
      </c>
      <c r="AK14" s="16"/>
      <c r="AL14" s="16"/>
      <c r="AM14" s="18">
        <v>1.0</v>
      </c>
      <c r="AN14" s="18">
        <v>1.0</v>
      </c>
      <c r="AO14" s="31">
        <f t="shared" si="1"/>
        <v>17</v>
      </c>
      <c r="AP14" s="32" t="s">
        <v>34</v>
      </c>
    </row>
    <row r="15">
      <c r="A15" s="55"/>
      <c r="B15" s="24" t="s">
        <v>96</v>
      </c>
      <c r="C15" s="19" t="s">
        <v>15</v>
      </c>
      <c r="D15" s="10" t="s">
        <v>16</v>
      </c>
      <c r="E15" s="23">
        <v>46104.0</v>
      </c>
      <c r="F15" s="24" t="s">
        <v>97</v>
      </c>
      <c r="G15" s="24" t="s">
        <v>98</v>
      </c>
      <c r="H15" s="24" t="s">
        <v>99</v>
      </c>
      <c r="I15" s="25" t="s">
        <v>24</v>
      </c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4"/>
      <c r="Z15" s="64"/>
      <c r="AA15" s="64"/>
      <c r="AB15" s="64"/>
      <c r="AC15" s="64"/>
      <c r="AD15" s="64"/>
      <c r="AE15" s="64"/>
      <c r="AF15" s="18">
        <v>1.0</v>
      </c>
      <c r="AG15" s="18">
        <v>1.0</v>
      </c>
      <c r="AH15" s="18">
        <v>1.0</v>
      </c>
      <c r="AI15" s="18">
        <v>1.0</v>
      </c>
      <c r="AJ15" s="18">
        <v>1.0</v>
      </c>
      <c r="AK15" s="16"/>
      <c r="AL15" s="16"/>
      <c r="AM15" s="18">
        <v>1.0</v>
      </c>
      <c r="AN15" s="18">
        <v>1.0</v>
      </c>
      <c r="AO15" s="31">
        <f t="shared" si="1"/>
        <v>7</v>
      </c>
      <c r="AP15" s="32" t="s">
        <v>34</v>
      </c>
    </row>
    <row r="16">
      <c r="A16" s="55"/>
      <c r="B16" s="57" t="s">
        <v>100</v>
      </c>
      <c r="C16" s="19" t="s">
        <v>15</v>
      </c>
      <c r="D16" s="10"/>
      <c r="E16" s="23"/>
      <c r="F16" s="24" t="s">
        <v>101</v>
      </c>
      <c r="G16" s="24" t="s">
        <v>102</v>
      </c>
      <c r="H16" s="24" t="s">
        <v>103</v>
      </c>
      <c r="I16" s="25" t="s">
        <v>73</v>
      </c>
      <c r="J16" s="18">
        <v>1.0</v>
      </c>
      <c r="K16" s="18">
        <v>1.0</v>
      </c>
      <c r="L16" s="18">
        <v>1.0</v>
      </c>
      <c r="M16" s="18">
        <v>1.0</v>
      </c>
      <c r="N16" s="18">
        <v>1.0</v>
      </c>
      <c r="O16" s="18">
        <v>1.0</v>
      </c>
      <c r="P16" s="18">
        <v>1.0</v>
      </c>
      <c r="Q16" s="18">
        <v>1.0</v>
      </c>
      <c r="R16" s="18">
        <v>1.0</v>
      </c>
      <c r="S16" s="18">
        <v>1.0</v>
      </c>
      <c r="T16" s="18">
        <v>1.0</v>
      </c>
      <c r="U16" s="18">
        <v>1.0</v>
      </c>
      <c r="V16" s="18">
        <v>1.0</v>
      </c>
      <c r="W16" s="18">
        <v>1.0</v>
      </c>
      <c r="X16" s="18">
        <v>1.0</v>
      </c>
      <c r="Y16" s="16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18">
        <v>1.0</v>
      </c>
      <c r="AK16" s="18">
        <v>1.0</v>
      </c>
      <c r="AL16" s="18">
        <v>1.0</v>
      </c>
      <c r="AM16" s="18">
        <v>1.0</v>
      </c>
      <c r="AN16" s="18">
        <v>1.0</v>
      </c>
      <c r="AO16" s="31">
        <f t="shared" si="1"/>
        <v>20</v>
      </c>
      <c r="AP16" s="32" t="s">
        <v>34</v>
      </c>
    </row>
    <row r="17">
      <c r="A17" s="55"/>
      <c r="B17" s="67" t="s">
        <v>106</v>
      </c>
      <c r="C17" s="9" t="s">
        <v>56</v>
      </c>
      <c r="D17" s="10" t="s">
        <v>16</v>
      </c>
      <c r="E17" s="23">
        <v>46083.0</v>
      </c>
      <c r="F17" s="7" t="s">
        <v>18</v>
      </c>
      <c r="G17" s="24" t="s">
        <v>107</v>
      </c>
      <c r="H17" s="24" t="s">
        <v>108</v>
      </c>
      <c r="I17" s="25" t="s">
        <v>25</v>
      </c>
      <c r="J17" s="16"/>
      <c r="K17" s="18">
        <v>1.0</v>
      </c>
      <c r="L17" s="16"/>
      <c r="M17" s="18">
        <v>1.0</v>
      </c>
      <c r="N17" s="18"/>
      <c r="O17" s="18">
        <v>1.0</v>
      </c>
      <c r="P17" s="16"/>
      <c r="Q17" s="16"/>
      <c r="R17" s="18">
        <v>1.0</v>
      </c>
      <c r="S17" s="16"/>
      <c r="T17" s="18">
        <v>1.0</v>
      </c>
      <c r="U17" s="16"/>
      <c r="V17" s="18">
        <v>1.0</v>
      </c>
      <c r="W17" s="16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31">
        <f t="shared" si="1"/>
        <v>6</v>
      </c>
      <c r="AP17" s="28"/>
    </row>
    <row r="18">
      <c r="A18" s="55"/>
      <c r="B18" s="24" t="s">
        <v>111</v>
      </c>
      <c r="C18" s="19" t="s">
        <v>56</v>
      </c>
      <c r="D18" s="10"/>
      <c r="E18" s="11"/>
      <c r="F18" s="24" t="s">
        <v>112</v>
      </c>
      <c r="G18" s="44" t="s">
        <v>113</v>
      </c>
      <c r="H18" s="44" t="s">
        <v>115</v>
      </c>
      <c r="I18" s="25" t="s">
        <v>25</v>
      </c>
      <c r="J18" s="16"/>
      <c r="K18" s="18">
        <v>1.0</v>
      </c>
      <c r="L18" s="16"/>
      <c r="M18" s="18">
        <v>1.0</v>
      </c>
      <c r="N18" s="16"/>
      <c r="O18" s="18">
        <v>1.0</v>
      </c>
      <c r="P18" s="18"/>
      <c r="Q18" s="16"/>
      <c r="R18" s="18">
        <v>1.0</v>
      </c>
      <c r="S18" s="16"/>
      <c r="T18" s="18">
        <v>1.0</v>
      </c>
      <c r="U18" s="16"/>
      <c r="V18" s="18">
        <v>1.0</v>
      </c>
      <c r="W18" s="16"/>
      <c r="X18" s="7"/>
      <c r="Y18" s="7">
        <v>1.0</v>
      </c>
      <c r="Z18" s="7"/>
      <c r="AA18" s="7">
        <v>1.0</v>
      </c>
      <c r="AB18" s="7"/>
      <c r="AC18" s="7">
        <v>1.0</v>
      </c>
      <c r="AD18" s="7"/>
      <c r="AE18" s="7"/>
      <c r="AF18" s="7">
        <v>1.0</v>
      </c>
      <c r="AG18" s="7"/>
      <c r="AH18" s="7">
        <v>1.0</v>
      </c>
      <c r="AI18" s="7"/>
      <c r="AJ18" s="7">
        <v>1.0</v>
      </c>
      <c r="AK18" s="7"/>
      <c r="AL18" s="80"/>
      <c r="AM18" s="80">
        <v>1.0</v>
      </c>
      <c r="AN18" s="80"/>
      <c r="AO18" s="31">
        <f t="shared" si="1"/>
        <v>13</v>
      </c>
      <c r="AP18" s="75" t="s">
        <v>34</v>
      </c>
    </row>
    <row r="19">
      <c r="A19" s="55"/>
      <c r="B19" s="7" t="s">
        <v>117</v>
      </c>
      <c r="C19" s="19" t="s">
        <v>56</v>
      </c>
      <c r="D19" s="10" t="s">
        <v>16</v>
      </c>
      <c r="E19" s="23">
        <v>46097.0</v>
      </c>
      <c r="F19" s="24" t="s">
        <v>18</v>
      </c>
      <c r="G19" s="24" t="s">
        <v>119</v>
      </c>
      <c r="H19" s="24" t="s">
        <v>120</v>
      </c>
      <c r="I19" s="25" t="s">
        <v>25</v>
      </c>
      <c r="J19" s="64"/>
      <c r="K19" s="64"/>
      <c r="L19" s="64"/>
      <c r="M19" s="64"/>
      <c r="N19" s="62"/>
      <c r="O19" s="62"/>
      <c r="P19" s="62"/>
      <c r="Q19" s="62"/>
      <c r="R19" s="62"/>
      <c r="S19" s="64"/>
      <c r="T19" s="64"/>
      <c r="U19" s="62"/>
      <c r="V19" s="62"/>
      <c r="W19" s="62"/>
      <c r="X19" s="62"/>
      <c r="Y19" s="16"/>
      <c r="Z19" s="16"/>
      <c r="AA19" s="18">
        <v>1.0</v>
      </c>
      <c r="AB19" s="16"/>
      <c r="AC19" s="18">
        <v>1.0</v>
      </c>
      <c r="AD19" s="16"/>
      <c r="AE19" s="16"/>
      <c r="AF19" s="18">
        <v>1.0</v>
      </c>
      <c r="AG19" s="16"/>
      <c r="AH19" s="18">
        <v>1.0</v>
      </c>
      <c r="AI19" s="16"/>
      <c r="AJ19" s="18">
        <v>1.0</v>
      </c>
      <c r="AK19" s="16"/>
      <c r="AL19" s="16"/>
      <c r="AM19" s="18">
        <v>1.0</v>
      </c>
      <c r="AN19" s="16"/>
      <c r="AO19" s="31">
        <f t="shared" si="1"/>
        <v>6</v>
      </c>
      <c r="AP19" s="78" t="s">
        <v>34</v>
      </c>
    </row>
    <row r="20">
      <c r="A20" s="55"/>
      <c r="B20" s="24" t="s">
        <v>123</v>
      </c>
      <c r="C20" s="19" t="s">
        <v>44</v>
      </c>
      <c r="D20" s="10"/>
      <c r="E20" s="23"/>
      <c r="F20" s="24" t="s">
        <v>124</v>
      </c>
      <c r="G20" s="24" t="s">
        <v>125</v>
      </c>
      <c r="H20" s="24" t="s">
        <v>126</v>
      </c>
      <c r="I20" s="25" t="s">
        <v>24</v>
      </c>
      <c r="J20" s="16"/>
      <c r="K20" s="18">
        <v>1.0</v>
      </c>
      <c r="L20" s="18">
        <v>1.0</v>
      </c>
      <c r="M20" s="18">
        <v>1.0</v>
      </c>
      <c r="N20" s="18">
        <v>1.0</v>
      </c>
      <c r="O20" s="18">
        <v>1.0</v>
      </c>
      <c r="P20" s="18"/>
      <c r="Q20" s="18"/>
      <c r="R20" s="18">
        <v>1.0</v>
      </c>
      <c r="S20" s="18">
        <v>1.0</v>
      </c>
      <c r="T20" s="18">
        <v>1.0</v>
      </c>
      <c r="U20" s="18">
        <v>1.0</v>
      </c>
      <c r="V20" s="18">
        <v>1.0</v>
      </c>
      <c r="W20" s="18"/>
      <c r="X20" s="18"/>
      <c r="Y20" s="18">
        <v>1.0</v>
      </c>
      <c r="Z20" s="18">
        <v>1.0</v>
      </c>
      <c r="AA20" s="18">
        <v>1.0</v>
      </c>
      <c r="AB20" s="18">
        <v>1.0</v>
      </c>
      <c r="AC20" s="18">
        <v>1.0</v>
      </c>
      <c r="AD20" s="16"/>
      <c r="AE20" s="16"/>
      <c r="AF20" s="18">
        <v>1.0</v>
      </c>
      <c r="AG20" s="18">
        <v>1.0</v>
      </c>
      <c r="AH20" s="18">
        <v>1.0</v>
      </c>
      <c r="AI20" s="18">
        <v>1.0</v>
      </c>
      <c r="AJ20" s="18">
        <v>1.0</v>
      </c>
      <c r="AK20" s="16"/>
      <c r="AL20" s="16"/>
      <c r="AM20" s="18">
        <v>1.0</v>
      </c>
      <c r="AN20" s="18">
        <v>1.0</v>
      </c>
      <c r="AO20" s="31">
        <f t="shared" si="1"/>
        <v>22</v>
      </c>
      <c r="AP20" s="78" t="s">
        <v>34</v>
      </c>
    </row>
    <row r="21">
      <c r="A21" s="55"/>
      <c r="B21" s="24" t="s">
        <v>123</v>
      </c>
      <c r="C21" s="19" t="s">
        <v>44</v>
      </c>
      <c r="D21" s="10" t="s">
        <v>33</v>
      </c>
      <c r="E21" s="23">
        <v>46113.0</v>
      </c>
      <c r="F21" s="24" t="s">
        <v>124</v>
      </c>
      <c r="G21" s="24" t="s">
        <v>125</v>
      </c>
      <c r="H21" s="24" t="s">
        <v>126</v>
      </c>
      <c r="I21" s="25" t="s">
        <v>25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31">
        <f t="shared" si="1"/>
        <v>0</v>
      </c>
      <c r="AP21" s="78" t="s">
        <v>34</v>
      </c>
    </row>
    <row r="22">
      <c r="A22" s="55"/>
      <c r="B22" s="57" t="s">
        <v>131</v>
      </c>
      <c r="C22" s="19" t="s">
        <v>79</v>
      </c>
      <c r="D22" s="10"/>
      <c r="E22" s="23"/>
      <c r="F22" s="24" t="s">
        <v>18</v>
      </c>
      <c r="G22" s="24" t="s">
        <v>121</v>
      </c>
      <c r="H22" s="24" t="s">
        <v>122</v>
      </c>
      <c r="I22" s="25" t="s">
        <v>25</v>
      </c>
      <c r="J22" s="16"/>
      <c r="K22" s="18">
        <v>1.0</v>
      </c>
      <c r="L22" s="16"/>
      <c r="M22" s="18">
        <v>1.0</v>
      </c>
      <c r="N22" s="18"/>
      <c r="O22" s="18">
        <v>1.0</v>
      </c>
      <c r="P22" s="18"/>
      <c r="Q22" s="18"/>
      <c r="R22" s="18">
        <v>1.0</v>
      </c>
      <c r="S22" s="16"/>
      <c r="T22" s="63"/>
      <c r="U22" s="63"/>
      <c r="V22" s="18">
        <v>1.0</v>
      </c>
      <c r="W22" s="16"/>
      <c r="X22" s="16"/>
      <c r="Y22" s="18">
        <v>1.0</v>
      </c>
      <c r="Z22" s="16"/>
      <c r="AA22" s="18">
        <v>1.0</v>
      </c>
      <c r="AB22" s="16"/>
      <c r="AC22" s="18">
        <v>1.0</v>
      </c>
      <c r="AD22" s="16"/>
      <c r="AE22" s="16"/>
      <c r="AF22" s="18">
        <v>1.0</v>
      </c>
      <c r="AG22" s="16"/>
      <c r="AH22" s="18">
        <v>1.0</v>
      </c>
      <c r="AI22" s="16"/>
      <c r="AJ22" s="18">
        <v>1.0</v>
      </c>
      <c r="AK22" s="16"/>
      <c r="AL22" s="16"/>
      <c r="AM22" s="18">
        <v>1.0</v>
      </c>
      <c r="AN22" s="16"/>
      <c r="AO22" s="31">
        <f t="shared" si="1"/>
        <v>12</v>
      </c>
      <c r="AP22" s="78" t="s">
        <v>34</v>
      </c>
    </row>
  </sheetData>
  <dataValidations>
    <dataValidation type="list" allowBlank="1" showErrorMessage="1" sqref="I2:I22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22">
      <formula1>"NOVO PACIENTE,READMISSÃO,TROCA,INTENSIFICAÇÃO,DESMAME,COBERTURA,REVEZAMENTO"</formula1>
    </dataValidation>
    <dataValidation type="list" allowBlank="1" showErrorMessage="1" sqref="C2:C22">
      <formula1>"ECONOMUS,CABESP,ALICE SAÚDE,VIVEST,PORTO SEGURO,CARE PLUS,OMINT,UNIMED SEGUROS"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41.25"/>
    <col customWidth="1" min="3" max="3" width="18.75"/>
    <col customWidth="1" min="4" max="4" width="19.38"/>
    <col customWidth="1" min="6" max="6" width="21.88"/>
    <col customWidth="1" min="7" max="7" width="31.38"/>
    <col customWidth="1" min="8" max="8" width="15.0"/>
    <col customWidth="1" min="9" max="9" width="15.25"/>
    <col customWidth="1" min="10" max="39" width="4.38"/>
    <col customWidth="1" hidden="1" min="40" max="40" width="4.38"/>
  </cols>
  <sheetData>
    <row r="1">
      <c r="A1" s="1"/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  <c r="AP1" s="4"/>
    </row>
    <row r="2">
      <c r="A2" s="6" t="s">
        <v>11</v>
      </c>
      <c r="B2" s="57" t="s">
        <v>12</v>
      </c>
      <c r="C2" s="9" t="s">
        <v>14</v>
      </c>
      <c r="D2" s="10"/>
      <c r="E2" s="11"/>
      <c r="F2" s="7" t="s">
        <v>17</v>
      </c>
      <c r="G2" s="13" t="s">
        <v>20</v>
      </c>
      <c r="H2" s="13" t="s">
        <v>23</v>
      </c>
      <c r="I2" s="14" t="s">
        <v>25</v>
      </c>
      <c r="J2" s="18">
        <v>1.0</v>
      </c>
      <c r="K2" s="18"/>
      <c r="L2" s="18">
        <v>1.0</v>
      </c>
      <c r="M2" s="18"/>
      <c r="N2" s="16"/>
      <c r="O2" s="18">
        <v>1.0</v>
      </c>
      <c r="P2" s="16"/>
      <c r="Q2" s="18">
        <v>1.0</v>
      </c>
      <c r="R2" s="18"/>
      <c r="S2" s="18">
        <v>1.0</v>
      </c>
      <c r="T2" s="18"/>
      <c r="U2" s="18"/>
      <c r="V2" s="18">
        <v>1.0</v>
      </c>
      <c r="W2" s="18"/>
      <c r="X2" s="18">
        <v>1.0</v>
      </c>
      <c r="Y2" s="18"/>
      <c r="Z2" s="18">
        <v>1.0</v>
      </c>
      <c r="AA2" s="18"/>
      <c r="AB2" s="16"/>
      <c r="AC2" s="62"/>
      <c r="AD2" s="62"/>
      <c r="AE2" s="62"/>
      <c r="AF2" s="62"/>
      <c r="AG2" s="62"/>
      <c r="AH2" s="62"/>
      <c r="AI2" s="63"/>
      <c r="AJ2" s="63"/>
      <c r="AK2" s="63"/>
      <c r="AL2" s="64"/>
      <c r="AM2" s="64"/>
      <c r="AN2" s="64"/>
      <c r="AO2" s="31">
        <f t="shared" ref="AO2:AO22" si="1">AN2+AM2+AL2+AK2+AJ2+AI2+AH2+AG2+AF2+AE2+AD2+AC2+AB2+AA2+Z2+Y2+X2+W2+V2+U2+T2+S2+R2+Q2+P2+O2+N2+M2+L2+K2+J2</f>
        <v>8</v>
      </c>
      <c r="AP2" s="32"/>
    </row>
    <row r="3">
      <c r="A3" s="30" t="s">
        <v>32</v>
      </c>
      <c r="B3" s="57" t="s">
        <v>12</v>
      </c>
      <c r="C3" s="19" t="s">
        <v>14</v>
      </c>
      <c r="D3" s="10" t="s">
        <v>74</v>
      </c>
      <c r="E3" s="23">
        <v>46132.0</v>
      </c>
      <c r="F3" s="7" t="s">
        <v>17</v>
      </c>
      <c r="G3" s="13" t="s">
        <v>20</v>
      </c>
      <c r="H3" s="13" t="s">
        <v>23</v>
      </c>
      <c r="I3" s="25" t="s">
        <v>73</v>
      </c>
      <c r="J3" s="62"/>
      <c r="K3" s="62"/>
      <c r="L3" s="62"/>
      <c r="M3" s="62"/>
      <c r="N3" s="64"/>
      <c r="O3" s="62"/>
      <c r="P3" s="64"/>
      <c r="Q3" s="62"/>
      <c r="R3" s="62"/>
      <c r="S3" s="62"/>
      <c r="T3" s="62"/>
      <c r="U3" s="62"/>
      <c r="V3" s="70"/>
      <c r="W3" s="62"/>
      <c r="X3" s="64"/>
      <c r="Y3" s="62"/>
      <c r="Z3" s="64"/>
      <c r="AA3" s="62"/>
      <c r="AB3" s="64"/>
      <c r="AC3" s="18">
        <v>1.0</v>
      </c>
      <c r="AD3" s="18">
        <v>1.0</v>
      </c>
      <c r="AE3" s="18">
        <v>1.0</v>
      </c>
      <c r="AF3" s="18">
        <v>1.0</v>
      </c>
      <c r="AG3" s="18">
        <v>1.0</v>
      </c>
      <c r="AH3" s="18">
        <v>1.0</v>
      </c>
      <c r="AI3" s="63"/>
      <c r="AJ3" s="63"/>
      <c r="AK3" s="63"/>
      <c r="AL3" s="18">
        <v>1.0</v>
      </c>
      <c r="AM3" s="18">
        <v>1.0</v>
      </c>
      <c r="AN3" s="16"/>
      <c r="AO3" s="31">
        <f t="shared" si="1"/>
        <v>8</v>
      </c>
      <c r="AP3" s="32"/>
    </row>
    <row r="4">
      <c r="A4" s="73" t="s">
        <v>40</v>
      </c>
      <c r="B4" s="33" t="s">
        <v>78</v>
      </c>
      <c r="C4" s="19" t="s">
        <v>79</v>
      </c>
      <c r="D4" s="10" t="s">
        <v>16</v>
      </c>
      <c r="E4" s="23">
        <v>46132.0</v>
      </c>
      <c r="F4" s="24" t="s">
        <v>81</v>
      </c>
      <c r="G4" s="24" t="s">
        <v>82</v>
      </c>
      <c r="H4" s="24" t="s">
        <v>83</v>
      </c>
      <c r="I4" s="25" t="s">
        <v>25</v>
      </c>
      <c r="J4" s="62"/>
      <c r="K4" s="62"/>
      <c r="L4" s="62"/>
      <c r="M4" s="62"/>
      <c r="N4" s="64"/>
      <c r="O4" s="62"/>
      <c r="P4" s="64"/>
      <c r="Q4" s="62"/>
      <c r="R4" s="62"/>
      <c r="S4" s="62"/>
      <c r="T4" s="62"/>
      <c r="U4" s="62"/>
      <c r="V4" s="70"/>
      <c r="W4" s="62"/>
      <c r="X4" s="64"/>
      <c r="Y4" s="62"/>
      <c r="Z4" s="64"/>
      <c r="AA4" s="62"/>
      <c r="AB4" s="64"/>
      <c r="AC4" s="18">
        <v>1.0</v>
      </c>
      <c r="AD4" s="16"/>
      <c r="AE4" s="18">
        <v>1.0</v>
      </c>
      <c r="AF4" s="18"/>
      <c r="AG4" s="18">
        <v>1.0</v>
      </c>
      <c r="AH4" s="18"/>
      <c r="AI4" s="16"/>
      <c r="AJ4" s="18">
        <v>1.0</v>
      </c>
      <c r="AK4" s="16"/>
      <c r="AL4" s="18">
        <v>1.0</v>
      </c>
      <c r="AM4" s="18"/>
      <c r="AN4" s="16"/>
      <c r="AO4" s="31">
        <f t="shared" si="1"/>
        <v>5</v>
      </c>
      <c r="AP4" s="32"/>
    </row>
    <row r="5">
      <c r="A5" s="43" t="s">
        <v>52</v>
      </c>
      <c r="B5" s="33" t="s">
        <v>61</v>
      </c>
      <c r="C5" s="19" t="s">
        <v>26</v>
      </c>
      <c r="D5" s="10"/>
      <c r="E5" s="23"/>
      <c r="F5" s="24" t="s">
        <v>18</v>
      </c>
      <c r="G5" s="24" t="s">
        <v>63</v>
      </c>
      <c r="H5" s="24" t="s">
        <v>65</v>
      </c>
      <c r="I5" s="25" t="s">
        <v>25</v>
      </c>
      <c r="J5" s="62"/>
      <c r="K5" s="62"/>
      <c r="L5" s="62"/>
      <c r="M5" s="62"/>
      <c r="N5" s="64"/>
      <c r="O5" s="62"/>
      <c r="P5" s="64"/>
      <c r="Q5" s="62"/>
      <c r="R5" s="62"/>
      <c r="S5" s="62"/>
      <c r="T5" s="62"/>
      <c r="U5" s="62"/>
      <c r="V5" s="70"/>
      <c r="W5" s="62"/>
      <c r="X5" s="64"/>
      <c r="Y5" s="62"/>
      <c r="Z5" s="64"/>
      <c r="AA5" s="62"/>
      <c r="AB5" s="64"/>
      <c r="AC5" s="62"/>
      <c r="AD5" s="64"/>
      <c r="AE5" s="64"/>
      <c r="AF5" s="62"/>
      <c r="AG5" s="64"/>
      <c r="AH5" s="62"/>
      <c r="AI5" s="64"/>
      <c r="AJ5" s="62"/>
      <c r="AK5" s="64"/>
      <c r="AL5" s="64"/>
      <c r="AM5" s="62"/>
      <c r="AN5" s="64"/>
      <c r="AO5" s="31">
        <f t="shared" si="1"/>
        <v>0</v>
      </c>
      <c r="AP5" s="32"/>
    </row>
    <row r="6">
      <c r="A6" s="55"/>
      <c r="B6" s="57" t="s">
        <v>61</v>
      </c>
      <c r="C6" s="9" t="s">
        <v>26</v>
      </c>
      <c r="D6" s="10" t="s">
        <v>33</v>
      </c>
      <c r="E6" s="11">
        <v>46113.0</v>
      </c>
      <c r="F6" s="24" t="s">
        <v>18</v>
      </c>
      <c r="G6" s="24" t="s">
        <v>63</v>
      </c>
      <c r="H6" s="24" t="s">
        <v>65</v>
      </c>
      <c r="I6" s="14" t="s">
        <v>30</v>
      </c>
      <c r="J6" s="18"/>
      <c r="K6" s="18">
        <v>1.0</v>
      </c>
      <c r="L6" s="18"/>
      <c r="M6" s="18"/>
      <c r="N6" s="18"/>
      <c r="O6" s="18"/>
      <c r="P6" s="18">
        <v>1.0</v>
      </c>
      <c r="Q6" s="18"/>
      <c r="R6" s="18">
        <v>1.0</v>
      </c>
      <c r="S6" s="53"/>
      <c r="T6" s="53"/>
      <c r="U6" s="53"/>
      <c r="V6" s="76"/>
      <c r="W6" s="57">
        <v>1.0</v>
      </c>
      <c r="X6" s="76"/>
      <c r="Y6" s="57">
        <v>1.0</v>
      </c>
      <c r="Z6" s="76"/>
      <c r="AA6" s="76"/>
      <c r="AB6" s="76"/>
      <c r="AC6" s="76"/>
      <c r="AD6" s="57">
        <v>1.0</v>
      </c>
      <c r="AE6" s="76"/>
      <c r="AF6" s="57">
        <v>1.0</v>
      </c>
      <c r="AG6" s="76"/>
      <c r="AH6" s="76"/>
      <c r="AI6" s="76"/>
      <c r="AJ6" s="76"/>
      <c r="AK6" s="57">
        <v>1.0</v>
      </c>
      <c r="AL6" s="76"/>
      <c r="AM6" s="57">
        <v>1.0</v>
      </c>
      <c r="AN6" s="53"/>
      <c r="AO6" s="31">
        <f t="shared" si="1"/>
        <v>9</v>
      </c>
      <c r="AP6" s="32"/>
    </row>
    <row r="7">
      <c r="A7" s="55"/>
      <c r="B7" s="68" t="s">
        <v>72</v>
      </c>
      <c r="C7" s="9" t="s">
        <v>56</v>
      </c>
      <c r="D7" s="10"/>
      <c r="E7" s="11"/>
      <c r="F7" s="7" t="s">
        <v>18</v>
      </c>
      <c r="G7" s="44" t="s">
        <v>45</v>
      </c>
      <c r="H7" s="44" t="s">
        <v>46</v>
      </c>
      <c r="I7" s="14" t="s">
        <v>73</v>
      </c>
      <c r="J7" s="18">
        <v>1.0</v>
      </c>
      <c r="K7" s="18">
        <v>1.0</v>
      </c>
      <c r="L7" s="18">
        <v>1.0</v>
      </c>
      <c r="M7" s="18">
        <v>1.0</v>
      </c>
      <c r="N7" s="18">
        <v>1.0</v>
      </c>
      <c r="O7" s="18">
        <v>1.0</v>
      </c>
      <c r="P7" s="66">
        <v>1.0</v>
      </c>
      <c r="Q7" s="66">
        <v>1.0</v>
      </c>
      <c r="R7" s="66">
        <v>1.0</v>
      </c>
      <c r="S7" s="57">
        <v>1.0</v>
      </c>
      <c r="T7" s="57">
        <v>1.0</v>
      </c>
      <c r="U7" s="57">
        <v>1.0</v>
      </c>
      <c r="V7" s="57">
        <v>1.0</v>
      </c>
      <c r="W7" s="57">
        <v>1.0</v>
      </c>
      <c r="X7" s="57">
        <v>1.0</v>
      </c>
      <c r="Y7" s="57">
        <v>1.0</v>
      </c>
      <c r="Z7" s="57">
        <v>1.0</v>
      </c>
      <c r="AA7" s="57">
        <v>1.0</v>
      </c>
      <c r="AB7" s="57">
        <v>1.0</v>
      </c>
      <c r="AC7" s="57">
        <v>1.0</v>
      </c>
      <c r="AD7" s="57">
        <v>1.0</v>
      </c>
      <c r="AE7" s="57">
        <v>1.0</v>
      </c>
      <c r="AF7" s="57">
        <v>1.0</v>
      </c>
      <c r="AG7" s="57">
        <v>1.0</v>
      </c>
      <c r="AH7" s="57">
        <v>1.0</v>
      </c>
      <c r="AI7" s="57">
        <v>1.0</v>
      </c>
      <c r="AJ7" s="57">
        <v>1.0</v>
      </c>
      <c r="AK7" s="57">
        <v>1.0</v>
      </c>
      <c r="AL7" s="69">
        <v>1.0</v>
      </c>
      <c r="AM7" s="69">
        <v>1.0</v>
      </c>
      <c r="AN7" s="69"/>
      <c r="AO7" s="31">
        <f t="shared" si="1"/>
        <v>30</v>
      </c>
      <c r="AP7" s="32"/>
    </row>
    <row r="8">
      <c r="B8" s="7" t="s">
        <v>41</v>
      </c>
      <c r="C8" s="9" t="s">
        <v>15</v>
      </c>
      <c r="D8" s="10"/>
      <c r="E8" s="11"/>
      <c r="F8" s="7" t="s">
        <v>18</v>
      </c>
      <c r="G8" s="7" t="s">
        <v>75</v>
      </c>
      <c r="H8" s="7" t="s">
        <v>76</v>
      </c>
      <c r="I8" s="14" t="s">
        <v>25</v>
      </c>
      <c r="J8" s="18">
        <v>1.0</v>
      </c>
      <c r="K8" s="18"/>
      <c r="L8" s="18">
        <v>1.0</v>
      </c>
      <c r="M8" s="18"/>
      <c r="N8" s="16"/>
      <c r="O8" s="18">
        <v>1.0</v>
      </c>
      <c r="P8" s="16"/>
      <c r="Q8" s="18">
        <v>1.0</v>
      </c>
      <c r="R8" s="18"/>
      <c r="S8" s="18">
        <v>1.0</v>
      </c>
      <c r="T8" s="18"/>
      <c r="U8" s="16"/>
      <c r="V8" s="18">
        <v>1.0</v>
      </c>
      <c r="W8" s="16"/>
      <c r="X8" s="18">
        <v>1.0</v>
      </c>
      <c r="Y8" s="18"/>
      <c r="Z8" s="18">
        <v>1.0</v>
      </c>
      <c r="AA8" s="18"/>
      <c r="AB8" s="16"/>
      <c r="AC8" s="18">
        <v>1.0</v>
      </c>
      <c r="AD8" s="16"/>
      <c r="AE8" s="18">
        <v>1.0</v>
      </c>
      <c r="AF8" s="18"/>
      <c r="AG8" s="18">
        <v>1.0</v>
      </c>
      <c r="AH8" s="18"/>
      <c r="AI8" s="16"/>
      <c r="AJ8" s="18">
        <v>1.0</v>
      </c>
      <c r="AK8" s="16"/>
      <c r="AL8" s="18">
        <v>1.0</v>
      </c>
      <c r="AM8" s="18"/>
      <c r="AN8" s="16"/>
      <c r="AO8" s="31">
        <f t="shared" si="1"/>
        <v>13</v>
      </c>
      <c r="AP8" s="32"/>
    </row>
    <row r="9" ht="19.5" customHeight="1">
      <c r="B9" s="7" t="s">
        <v>86</v>
      </c>
      <c r="C9" s="19" t="s">
        <v>56</v>
      </c>
      <c r="D9" s="10"/>
      <c r="E9" s="23"/>
      <c r="F9" s="24" t="s">
        <v>17</v>
      </c>
      <c r="G9" s="74" t="s">
        <v>57</v>
      </c>
      <c r="H9" s="74" t="s">
        <v>60</v>
      </c>
      <c r="I9" s="25" t="s">
        <v>30</v>
      </c>
      <c r="J9" s="16"/>
      <c r="K9" s="18">
        <v>1.0</v>
      </c>
      <c r="L9" s="18"/>
      <c r="M9" s="16"/>
      <c r="N9" s="18"/>
      <c r="O9" s="16"/>
      <c r="P9" s="18">
        <v>1.0</v>
      </c>
      <c r="Q9" s="16"/>
      <c r="R9" s="18">
        <v>1.0</v>
      </c>
      <c r="S9" s="18"/>
      <c r="T9" s="16"/>
      <c r="U9" s="18"/>
      <c r="V9" s="18">
        <v>1.0</v>
      </c>
      <c r="W9" s="18"/>
      <c r="X9" s="16"/>
      <c r="Y9" s="18">
        <v>1.0</v>
      </c>
      <c r="Z9" s="18"/>
      <c r="AA9" s="16"/>
      <c r="AB9" s="18"/>
      <c r="AC9" s="18">
        <v>1.0</v>
      </c>
      <c r="AD9" s="16"/>
      <c r="AE9" s="16"/>
      <c r="AF9" s="18">
        <v>1.0</v>
      </c>
      <c r="AG9" s="18"/>
      <c r="AH9" s="16"/>
      <c r="AI9" s="18"/>
      <c r="AJ9" s="18">
        <v>1.0</v>
      </c>
      <c r="AK9" s="16"/>
      <c r="AL9" s="16"/>
      <c r="AM9" s="18">
        <v>1.0</v>
      </c>
      <c r="AN9" s="18"/>
      <c r="AO9" s="31">
        <f t="shared" si="1"/>
        <v>9</v>
      </c>
      <c r="AP9" s="75"/>
    </row>
    <row r="10" ht="18.75" customHeight="1">
      <c r="B10" s="7" t="s">
        <v>86</v>
      </c>
      <c r="C10" s="19" t="s">
        <v>56</v>
      </c>
      <c r="D10" s="10" t="s">
        <v>47</v>
      </c>
      <c r="E10" s="23">
        <v>46122.0</v>
      </c>
      <c r="F10" s="24" t="s">
        <v>17</v>
      </c>
      <c r="G10" s="74" t="s">
        <v>109</v>
      </c>
      <c r="H10" s="74" t="s">
        <v>110</v>
      </c>
      <c r="I10" s="25" t="s">
        <v>30</v>
      </c>
      <c r="J10" s="64"/>
      <c r="K10" s="64"/>
      <c r="L10" s="62"/>
      <c r="M10" s="64"/>
      <c r="N10" s="62"/>
      <c r="O10" s="64"/>
      <c r="P10" s="64"/>
      <c r="Q10" s="64"/>
      <c r="R10" s="64"/>
      <c r="S10" s="62"/>
      <c r="T10" s="64"/>
      <c r="U10" s="62"/>
      <c r="V10" s="64"/>
      <c r="W10" s="62"/>
      <c r="X10" s="64"/>
      <c r="Y10" s="64"/>
      <c r="Z10" s="62"/>
      <c r="AA10" s="64"/>
      <c r="AB10" s="62"/>
      <c r="AC10" s="62"/>
      <c r="AD10" s="64"/>
      <c r="AE10" s="64"/>
      <c r="AF10" s="64"/>
      <c r="AG10" s="62"/>
      <c r="AH10" s="64"/>
      <c r="AI10" s="62"/>
      <c r="AJ10" s="64"/>
      <c r="AK10" s="64"/>
      <c r="AL10" s="64"/>
      <c r="AM10" s="64"/>
      <c r="AN10" s="18"/>
      <c r="AO10" s="31">
        <f t="shared" si="1"/>
        <v>0</v>
      </c>
      <c r="AP10" s="75"/>
    </row>
    <row r="11">
      <c r="B11" s="57" t="s">
        <v>89</v>
      </c>
      <c r="C11" s="9" t="s">
        <v>44</v>
      </c>
      <c r="D11" s="10"/>
      <c r="E11" s="11"/>
      <c r="F11" s="7" t="s">
        <v>18</v>
      </c>
      <c r="G11" s="12" t="s">
        <v>90</v>
      </c>
      <c r="H11" s="12" t="s">
        <v>91</v>
      </c>
      <c r="I11" s="14" t="s">
        <v>30</v>
      </c>
      <c r="J11" s="16"/>
      <c r="K11" s="18">
        <v>1.0</v>
      </c>
      <c r="L11" s="18"/>
      <c r="M11" s="16"/>
      <c r="N11" s="18"/>
      <c r="O11" s="16"/>
      <c r="P11" s="18">
        <v>1.0</v>
      </c>
      <c r="Q11" s="16"/>
      <c r="R11" s="18">
        <v>1.0</v>
      </c>
      <c r="S11" s="18"/>
      <c r="T11" s="16"/>
      <c r="U11" s="18"/>
      <c r="V11" s="16"/>
      <c r="W11" s="18">
        <v>1.0</v>
      </c>
      <c r="X11" s="16"/>
      <c r="Y11" s="18">
        <v>1.0</v>
      </c>
      <c r="Z11" s="16"/>
      <c r="AA11" s="16"/>
      <c r="AB11" s="16"/>
      <c r="AC11" s="16"/>
      <c r="AD11" s="18">
        <v>1.0</v>
      </c>
      <c r="AE11" s="16"/>
      <c r="AF11" s="18">
        <v>1.0</v>
      </c>
      <c r="AG11" s="18"/>
      <c r="AH11" s="16"/>
      <c r="AI11" s="18"/>
      <c r="AJ11" s="16"/>
      <c r="AK11" s="18">
        <v>1.0</v>
      </c>
      <c r="AL11" s="16"/>
      <c r="AM11" s="18">
        <v>1.0</v>
      </c>
      <c r="AN11" s="16"/>
      <c r="AO11" s="31">
        <f t="shared" si="1"/>
        <v>9</v>
      </c>
      <c r="AP11" s="75"/>
    </row>
    <row r="12">
      <c r="A12" s="55"/>
      <c r="B12" s="7" t="s">
        <v>118</v>
      </c>
      <c r="C12" s="19"/>
      <c r="D12" s="10" t="s">
        <v>16</v>
      </c>
      <c r="E12" s="23">
        <v>46127.0</v>
      </c>
      <c r="F12" s="7" t="s">
        <v>18</v>
      </c>
      <c r="G12" s="81" t="s">
        <v>121</v>
      </c>
      <c r="H12" s="35" t="s">
        <v>122</v>
      </c>
      <c r="I12" s="25" t="s">
        <v>25</v>
      </c>
      <c r="J12" s="64"/>
      <c r="K12" s="64"/>
      <c r="L12" s="64"/>
      <c r="M12" s="64"/>
      <c r="N12" s="64"/>
      <c r="O12" s="64"/>
      <c r="P12" s="64"/>
      <c r="Q12" s="64"/>
      <c r="R12" s="64"/>
      <c r="S12" s="62"/>
      <c r="T12" s="62"/>
      <c r="U12" s="62"/>
      <c r="V12" s="62"/>
      <c r="W12" s="18">
        <v>1.0</v>
      </c>
      <c r="X12" s="16"/>
      <c r="Y12" s="62"/>
      <c r="Z12" s="62"/>
      <c r="AA12" s="62"/>
      <c r="AB12" s="62"/>
      <c r="AC12" s="62"/>
      <c r="AD12" s="64"/>
      <c r="AE12" s="64"/>
      <c r="AF12" s="62"/>
      <c r="AG12" s="62"/>
      <c r="AH12" s="62"/>
      <c r="AI12" s="62"/>
      <c r="AJ12" s="62"/>
      <c r="AK12" s="64"/>
      <c r="AL12" s="64"/>
      <c r="AM12" s="62"/>
      <c r="AN12" s="62"/>
      <c r="AO12" s="31">
        <f t="shared" si="1"/>
        <v>1</v>
      </c>
      <c r="AP12" s="32"/>
    </row>
    <row r="13">
      <c r="A13" s="55"/>
      <c r="B13" s="7" t="s">
        <v>92</v>
      </c>
      <c r="C13" s="19" t="s">
        <v>93</v>
      </c>
      <c r="D13" s="10"/>
      <c r="E13" s="23"/>
      <c r="F13" s="7" t="s">
        <v>18</v>
      </c>
      <c r="G13" s="77" t="s">
        <v>94</v>
      </c>
      <c r="H13" s="24" t="s">
        <v>95</v>
      </c>
      <c r="I13" s="25" t="s">
        <v>24</v>
      </c>
      <c r="J13" s="15"/>
      <c r="K13" s="15"/>
      <c r="L13" s="15"/>
      <c r="M13" s="15"/>
      <c r="N13" s="15"/>
      <c r="O13" s="15"/>
      <c r="P13" s="15"/>
      <c r="Q13" s="15"/>
      <c r="R13" s="20"/>
      <c r="S13" s="20"/>
      <c r="T13" s="20"/>
      <c r="U13" s="20"/>
      <c r="V13" s="20"/>
      <c r="W13" s="15"/>
      <c r="X13" s="15"/>
      <c r="Y13" s="20"/>
      <c r="Z13" s="20"/>
      <c r="AA13" s="20"/>
      <c r="AB13" s="20"/>
      <c r="AC13" s="20"/>
      <c r="AD13" s="15"/>
      <c r="AE13" s="15"/>
      <c r="AF13" s="20"/>
      <c r="AG13" s="20"/>
      <c r="AH13" s="20"/>
      <c r="AI13" s="20"/>
      <c r="AJ13" s="20"/>
      <c r="AK13" s="15"/>
      <c r="AL13" s="15"/>
      <c r="AM13" s="20"/>
      <c r="AN13" s="20"/>
      <c r="AO13" s="31">
        <f t="shared" si="1"/>
        <v>0</v>
      </c>
      <c r="AP13" s="32"/>
    </row>
    <row r="14">
      <c r="A14" s="55"/>
      <c r="B14" s="7" t="s">
        <v>92</v>
      </c>
      <c r="C14" s="19" t="s">
        <v>93</v>
      </c>
      <c r="D14" s="10" t="s">
        <v>33</v>
      </c>
      <c r="E14" s="23">
        <v>46113.0</v>
      </c>
      <c r="F14" s="7" t="s">
        <v>18</v>
      </c>
      <c r="G14" s="84" t="s">
        <v>94</v>
      </c>
      <c r="H14" s="24" t="s">
        <v>95</v>
      </c>
      <c r="I14" s="25" t="s">
        <v>25</v>
      </c>
      <c r="J14" s="18">
        <v>1.0</v>
      </c>
      <c r="K14" s="16"/>
      <c r="L14" s="18">
        <v>1.0</v>
      </c>
      <c r="M14" s="16"/>
      <c r="N14" s="16"/>
      <c r="O14" s="18">
        <v>1.0</v>
      </c>
      <c r="P14" s="16"/>
      <c r="Q14" s="18">
        <v>1.0</v>
      </c>
      <c r="R14" s="18"/>
      <c r="S14" s="18">
        <v>1.0</v>
      </c>
      <c r="T14" s="18"/>
      <c r="U14" s="18"/>
      <c r="V14" s="18">
        <v>1.0</v>
      </c>
      <c r="W14" s="16"/>
      <c r="X14" s="18">
        <v>1.0</v>
      </c>
      <c r="Y14" s="18"/>
      <c r="Z14" s="18">
        <v>1.0</v>
      </c>
      <c r="AA14" s="18"/>
      <c r="AB14" s="18"/>
      <c r="AC14" s="18">
        <v>1.0</v>
      </c>
      <c r="AD14" s="16"/>
      <c r="AE14" s="18">
        <v>1.0</v>
      </c>
      <c r="AF14" s="18"/>
      <c r="AG14" s="18">
        <v>1.0</v>
      </c>
      <c r="AH14" s="18"/>
      <c r="AI14" s="18"/>
      <c r="AJ14" s="18">
        <v>1.0</v>
      </c>
      <c r="AK14" s="16"/>
      <c r="AL14" s="18">
        <v>1.0</v>
      </c>
      <c r="AM14" s="18"/>
      <c r="AN14" s="18"/>
      <c r="AO14" s="31">
        <f t="shared" si="1"/>
        <v>13</v>
      </c>
      <c r="AP14" s="32"/>
    </row>
    <row r="15">
      <c r="A15" s="55"/>
      <c r="B15" s="8" t="s">
        <v>96</v>
      </c>
      <c r="C15" s="19" t="s">
        <v>15</v>
      </c>
      <c r="D15" s="10"/>
      <c r="E15" s="23"/>
      <c r="F15" s="24" t="s">
        <v>97</v>
      </c>
      <c r="G15" s="24" t="s">
        <v>98</v>
      </c>
      <c r="H15" s="24" t="s">
        <v>99</v>
      </c>
      <c r="I15" s="25" t="s">
        <v>24</v>
      </c>
      <c r="J15" s="18">
        <v>1.0</v>
      </c>
      <c r="K15" s="18"/>
      <c r="L15" s="18">
        <v>1.0</v>
      </c>
      <c r="M15" s="18"/>
      <c r="N15" s="18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31">
        <f t="shared" si="1"/>
        <v>2</v>
      </c>
      <c r="AP15" s="32"/>
    </row>
    <row r="16">
      <c r="A16" s="55"/>
      <c r="B16" s="57" t="s">
        <v>100</v>
      </c>
      <c r="C16" s="19" t="s">
        <v>15</v>
      </c>
      <c r="D16" s="10"/>
      <c r="E16" s="23"/>
      <c r="F16" s="24" t="s">
        <v>101</v>
      </c>
      <c r="G16" s="24" t="s">
        <v>102</v>
      </c>
      <c r="H16" s="24" t="s">
        <v>103</v>
      </c>
      <c r="I16" s="25" t="s">
        <v>73</v>
      </c>
      <c r="J16" s="18">
        <v>1.0</v>
      </c>
      <c r="K16" s="18">
        <v>1.0</v>
      </c>
      <c r="L16" s="18">
        <v>1.0</v>
      </c>
      <c r="M16" s="18">
        <v>1.0</v>
      </c>
      <c r="N16" s="18">
        <v>1.0</v>
      </c>
      <c r="O16" s="18">
        <v>1.0</v>
      </c>
      <c r="P16" s="18">
        <v>1.0</v>
      </c>
      <c r="Q16" s="18">
        <v>1.0</v>
      </c>
      <c r="R16" s="18">
        <v>1.0</v>
      </c>
      <c r="S16" s="18">
        <v>1.0</v>
      </c>
      <c r="T16" s="18">
        <v>1.0</v>
      </c>
      <c r="U16" s="18">
        <v>1.0</v>
      </c>
      <c r="V16" s="18">
        <v>1.0</v>
      </c>
      <c r="W16" s="18">
        <v>1.0</v>
      </c>
      <c r="X16" s="18">
        <v>1.0</v>
      </c>
      <c r="Y16" s="18">
        <v>1.0</v>
      </c>
      <c r="Z16" s="18">
        <v>1.0</v>
      </c>
      <c r="AA16" s="18">
        <v>1.0</v>
      </c>
      <c r="AB16" s="18">
        <v>1.0</v>
      </c>
      <c r="AC16" s="18">
        <v>1.0</v>
      </c>
      <c r="AD16" s="18">
        <v>1.0</v>
      </c>
      <c r="AE16" s="18">
        <v>1.0</v>
      </c>
      <c r="AF16" s="18">
        <v>1.0</v>
      </c>
      <c r="AG16" s="18">
        <v>1.0</v>
      </c>
      <c r="AH16" s="18">
        <v>1.0</v>
      </c>
      <c r="AI16" s="18">
        <v>1.0</v>
      </c>
      <c r="AJ16" s="18">
        <v>1.0</v>
      </c>
      <c r="AK16" s="18">
        <v>1.0</v>
      </c>
      <c r="AL16" s="18">
        <v>1.0</v>
      </c>
      <c r="AM16" s="18">
        <v>1.0</v>
      </c>
      <c r="AN16" s="16"/>
      <c r="AO16" s="31">
        <f t="shared" si="1"/>
        <v>30</v>
      </c>
      <c r="AP16" s="32"/>
    </row>
    <row r="17">
      <c r="A17" s="55"/>
      <c r="B17" s="24" t="s">
        <v>111</v>
      </c>
      <c r="C17" s="19" t="s">
        <v>56</v>
      </c>
      <c r="D17" s="10"/>
      <c r="E17" s="11"/>
      <c r="F17" s="24" t="s">
        <v>112</v>
      </c>
      <c r="G17" s="44" t="s">
        <v>113</v>
      </c>
      <c r="H17" s="44" t="s">
        <v>115</v>
      </c>
      <c r="I17" s="25" t="s">
        <v>25</v>
      </c>
      <c r="J17" s="18">
        <v>1.0</v>
      </c>
      <c r="K17" s="18"/>
      <c r="L17" s="18">
        <v>1.0</v>
      </c>
      <c r="M17" s="18"/>
      <c r="N17" s="16"/>
      <c r="O17" s="18">
        <v>1.0</v>
      </c>
      <c r="P17" s="18"/>
      <c r="Q17" s="18">
        <v>1.0</v>
      </c>
      <c r="R17" s="18"/>
      <c r="S17" s="18">
        <v>1.0</v>
      </c>
      <c r="T17" s="18"/>
      <c r="U17" s="16"/>
      <c r="V17" s="18">
        <v>1.0</v>
      </c>
      <c r="W17" s="16"/>
      <c r="X17" s="7">
        <v>1.0</v>
      </c>
      <c r="Y17" s="7"/>
      <c r="Z17" s="7">
        <v>1.0</v>
      </c>
      <c r="AA17" s="7"/>
      <c r="AB17" s="7"/>
      <c r="AC17" s="7">
        <v>1.0</v>
      </c>
      <c r="AD17" s="7"/>
      <c r="AE17" s="7">
        <v>1.0</v>
      </c>
      <c r="AF17" s="7"/>
      <c r="AG17" s="7">
        <v>1.0</v>
      </c>
      <c r="AH17" s="7"/>
      <c r="AI17" s="7"/>
      <c r="AJ17" s="7">
        <v>1.0</v>
      </c>
      <c r="AK17" s="7"/>
      <c r="AL17" s="80">
        <v>1.0</v>
      </c>
      <c r="AM17" s="80"/>
      <c r="AN17" s="80"/>
      <c r="AO17" s="31">
        <f t="shared" si="1"/>
        <v>13</v>
      </c>
      <c r="AP17" s="75"/>
    </row>
    <row r="18">
      <c r="A18" s="55"/>
      <c r="B18" s="7" t="s">
        <v>117</v>
      </c>
      <c r="C18" s="19" t="s">
        <v>56</v>
      </c>
      <c r="D18" s="10"/>
      <c r="E18" s="23"/>
      <c r="F18" s="24" t="s">
        <v>18</v>
      </c>
      <c r="G18" s="24" t="s">
        <v>119</v>
      </c>
      <c r="H18" s="24" t="s">
        <v>120</v>
      </c>
      <c r="I18" s="25" t="s">
        <v>25</v>
      </c>
      <c r="J18" s="62">
        <v>1.0</v>
      </c>
      <c r="K18" s="64"/>
      <c r="L18" s="62">
        <v>1.0</v>
      </c>
      <c r="M18" s="64"/>
      <c r="N18" s="62"/>
      <c r="O18" s="62">
        <v>1.0</v>
      </c>
      <c r="P18" s="62"/>
      <c r="Q18" s="62">
        <v>1.0</v>
      </c>
      <c r="R18" s="62"/>
      <c r="S18" s="62">
        <v>1.0</v>
      </c>
      <c r="T18" s="64"/>
      <c r="U18" s="62"/>
      <c r="V18" s="62">
        <v>1.0</v>
      </c>
      <c r="W18" s="62"/>
      <c r="X18" s="62">
        <v>1.0</v>
      </c>
      <c r="Y18" s="16"/>
      <c r="Z18" s="18">
        <v>1.0</v>
      </c>
      <c r="AA18" s="18"/>
      <c r="AB18" s="16"/>
      <c r="AC18" s="18">
        <v>1.0</v>
      </c>
      <c r="AD18" s="16"/>
      <c r="AE18" s="18">
        <v>1.0</v>
      </c>
      <c r="AF18" s="18"/>
      <c r="AG18" s="18">
        <v>1.0</v>
      </c>
      <c r="AH18" s="18"/>
      <c r="AI18" s="16"/>
      <c r="AJ18" s="18">
        <v>1.0</v>
      </c>
      <c r="AK18" s="16"/>
      <c r="AL18" s="18">
        <v>1.0</v>
      </c>
      <c r="AM18" s="18"/>
      <c r="AN18" s="16"/>
      <c r="AO18" s="31">
        <f t="shared" si="1"/>
        <v>13</v>
      </c>
      <c r="AP18" s="78"/>
    </row>
    <row r="19">
      <c r="A19" s="55"/>
      <c r="B19" s="24" t="s">
        <v>123</v>
      </c>
      <c r="C19" s="19" t="s">
        <v>44</v>
      </c>
      <c r="D19" s="10"/>
      <c r="E19" s="23"/>
      <c r="F19" s="24" t="s">
        <v>124</v>
      </c>
      <c r="G19" s="24" t="s">
        <v>125</v>
      </c>
      <c r="H19" s="24" t="s">
        <v>126</v>
      </c>
      <c r="I19" s="25" t="s">
        <v>24</v>
      </c>
      <c r="J19" s="64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4"/>
      <c r="AE19" s="64"/>
      <c r="AF19" s="62"/>
      <c r="AG19" s="62"/>
      <c r="AH19" s="62"/>
      <c r="AI19" s="62"/>
      <c r="AJ19" s="62"/>
      <c r="AK19" s="64"/>
      <c r="AL19" s="64"/>
      <c r="AM19" s="62"/>
      <c r="AN19" s="18"/>
      <c r="AO19" s="31">
        <f t="shared" si="1"/>
        <v>0</v>
      </c>
      <c r="AP19" s="78"/>
    </row>
    <row r="20">
      <c r="A20" s="55"/>
      <c r="B20" s="24" t="s">
        <v>123</v>
      </c>
      <c r="C20" s="19" t="s">
        <v>44</v>
      </c>
      <c r="D20" s="10" t="s">
        <v>33</v>
      </c>
      <c r="E20" s="23">
        <v>46113.0</v>
      </c>
      <c r="F20" s="24" t="s">
        <v>124</v>
      </c>
      <c r="G20" s="24" t="s">
        <v>125</v>
      </c>
      <c r="H20" s="24" t="s">
        <v>126</v>
      </c>
      <c r="I20" s="25" t="s">
        <v>25</v>
      </c>
      <c r="J20" s="18">
        <v>1.0</v>
      </c>
      <c r="K20" s="16"/>
      <c r="L20" s="18">
        <v>1.0</v>
      </c>
      <c r="M20" s="16"/>
      <c r="N20" s="16"/>
      <c r="O20" s="18">
        <v>1.0</v>
      </c>
      <c r="P20" s="16"/>
      <c r="Q20" s="18">
        <v>1.0</v>
      </c>
      <c r="R20" s="16"/>
      <c r="S20" s="18">
        <v>1.0</v>
      </c>
      <c r="T20" s="16"/>
      <c r="U20" s="16"/>
      <c r="V20" s="18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5"/>
      <c r="AH20" s="15"/>
      <c r="AI20" s="15"/>
      <c r="AJ20" s="15"/>
      <c r="AK20" s="15"/>
      <c r="AL20" s="15"/>
      <c r="AM20" s="15"/>
      <c r="AN20" s="16"/>
      <c r="AO20" s="31">
        <f t="shared" si="1"/>
        <v>5</v>
      </c>
      <c r="AP20" s="78"/>
    </row>
    <row r="21">
      <c r="A21" s="55"/>
      <c r="B21" s="24" t="s">
        <v>123</v>
      </c>
      <c r="C21" s="19" t="s">
        <v>44</v>
      </c>
      <c r="D21" s="10" t="s">
        <v>74</v>
      </c>
      <c r="E21" s="23">
        <v>45771.0</v>
      </c>
      <c r="F21" s="24" t="s">
        <v>124</v>
      </c>
      <c r="G21" s="24" t="s">
        <v>125</v>
      </c>
      <c r="H21" s="24" t="s">
        <v>126</v>
      </c>
      <c r="I21" s="25" t="s">
        <v>24</v>
      </c>
      <c r="J21" s="62">
        <v>1.0</v>
      </c>
      <c r="K21" s="62">
        <v>1.0</v>
      </c>
      <c r="L21" s="62">
        <v>1.0</v>
      </c>
      <c r="M21" s="62"/>
      <c r="N21" s="62"/>
      <c r="O21" s="62">
        <v>1.0</v>
      </c>
      <c r="P21" s="62">
        <v>1.0</v>
      </c>
      <c r="Q21" s="62">
        <v>1.0</v>
      </c>
      <c r="R21" s="62">
        <v>1.0</v>
      </c>
      <c r="S21" s="62">
        <v>1.0</v>
      </c>
      <c r="T21" s="64"/>
      <c r="U21" s="64"/>
      <c r="V21" s="62">
        <v>1.0</v>
      </c>
      <c r="W21" s="62">
        <v>1.0</v>
      </c>
      <c r="X21" s="62">
        <v>1.0</v>
      </c>
      <c r="Y21" s="62">
        <v>1.0</v>
      </c>
      <c r="Z21" s="62">
        <v>1.0</v>
      </c>
      <c r="AA21" s="64"/>
      <c r="AB21" s="64"/>
      <c r="AC21" s="62">
        <v>1.0</v>
      </c>
      <c r="AD21" s="62">
        <v>1.0</v>
      </c>
      <c r="AE21" s="62">
        <v>1.0</v>
      </c>
      <c r="AF21" s="62">
        <v>1.0</v>
      </c>
      <c r="AG21" s="18">
        <v>1.0</v>
      </c>
      <c r="AH21" s="16"/>
      <c r="AI21" s="16"/>
      <c r="AJ21" s="18">
        <v>1.0</v>
      </c>
      <c r="AK21" s="18">
        <v>1.0</v>
      </c>
      <c r="AL21" s="18">
        <v>1.0</v>
      </c>
      <c r="AM21" s="18">
        <v>1.0</v>
      </c>
      <c r="AN21" s="16"/>
      <c r="AO21" s="31">
        <f t="shared" si="1"/>
        <v>22</v>
      </c>
      <c r="AP21" s="78"/>
    </row>
    <row r="22">
      <c r="A22" s="55"/>
      <c r="B22" s="57" t="s">
        <v>131</v>
      </c>
      <c r="C22" s="19" t="s">
        <v>79</v>
      </c>
      <c r="D22" s="10"/>
      <c r="E22" s="23"/>
      <c r="F22" s="24" t="s">
        <v>18</v>
      </c>
      <c r="G22" s="24" t="s">
        <v>121</v>
      </c>
      <c r="H22" s="24" t="s">
        <v>122</v>
      </c>
      <c r="I22" s="25" t="s">
        <v>25</v>
      </c>
      <c r="J22" s="18">
        <v>1.0</v>
      </c>
      <c r="K22" s="18"/>
      <c r="L22" s="18">
        <v>1.0</v>
      </c>
      <c r="M22" s="18"/>
      <c r="N22" s="18"/>
      <c r="O22" s="18">
        <v>1.0</v>
      </c>
      <c r="P22" s="18"/>
      <c r="Q22" s="18">
        <v>1.0</v>
      </c>
      <c r="R22" s="18"/>
      <c r="S22" s="18">
        <v>1.0</v>
      </c>
      <c r="T22" s="16"/>
      <c r="U22" s="16"/>
      <c r="V22" s="18">
        <v>1.0</v>
      </c>
      <c r="W22" s="16"/>
      <c r="X22" s="18">
        <v>1.0</v>
      </c>
      <c r="Y22" s="18"/>
      <c r="Z22" s="18">
        <v>1.0</v>
      </c>
      <c r="AA22" s="18"/>
      <c r="AB22" s="16"/>
      <c r="AC22" s="18">
        <v>1.0</v>
      </c>
      <c r="AD22" s="16"/>
      <c r="AE22" s="18">
        <v>1.0</v>
      </c>
      <c r="AF22" s="18"/>
      <c r="AG22" s="18">
        <v>1.0</v>
      </c>
      <c r="AH22" s="18"/>
      <c r="AI22" s="16"/>
      <c r="AJ22" s="18">
        <v>1.0</v>
      </c>
      <c r="AK22" s="16"/>
      <c r="AL22" s="18">
        <v>1.0</v>
      </c>
      <c r="AM22" s="18"/>
      <c r="AN22" s="16"/>
      <c r="AO22" s="31">
        <f t="shared" si="1"/>
        <v>13</v>
      </c>
      <c r="AP22" s="78"/>
    </row>
  </sheetData>
  <dataValidations>
    <dataValidation type="list" allowBlank="1" showErrorMessage="1" sqref="I2:I22">
      <formula1>"1X/SEMANA,2X/SEMANA,3X/SEMANA,4X/SEMANA,5X/SEMANA,6X/SEMANA,1X/DIA ,2X/DIA,3X/DIA,4X/DIA,1X/MÊS,2X/MÊS ,BIMESTRAL,TRIMESTRAL,PONTUAL,AVALIAÇÃO"</formula1>
    </dataValidation>
    <dataValidation type="list" allowBlank="1" showErrorMessage="1" sqref="D2:D22">
      <formula1>"NOVO PACIENTE,READMISSÃO,TROCA,INTENSIFICAÇÃO,DESMAME,COBERTURA,REVEZAMENTO"</formula1>
    </dataValidation>
    <dataValidation type="list" allowBlank="1" showErrorMessage="1" sqref="C2:C22">
      <formula1>"ECONOMUS,CABESP,ALICE SAÚDE,VIVEST,PORTO SEGURO,CARE PLUS,OMINT,UNIMED SEGUROS"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41.25"/>
    <col customWidth="1" min="3" max="3" width="18.75"/>
    <col customWidth="1" min="4" max="4" width="19.38"/>
    <col customWidth="1" min="6" max="6" width="21.88"/>
    <col customWidth="1" min="7" max="7" width="31.38"/>
    <col customWidth="1" min="8" max="8" width="15.0"/>
    <col customWidth="1" min="9" max="9" width="15.25"/>
    <col customWidth="1" min="10" max="40" width="4.38"/>
    <col customWidth="1" min="41" max="41" width="7.0"/>
  </cols>
  <sheetData>
    <row r="1">
      <c r="A1" s="1"/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  <c r="AP1" s="4"/>
    </row>
    <row r="2">
      <c r="A2" s="87" t="s">
        <v>32</v>
      </c>
      <c r="B2" s="57" t="s">
        <v>12</v>
      </c>
      <c r="C2" s="88" t="s">
        <v>14</v>
      </c>
      <c r="D2" s="89"/>
      <c r="E2" s="90"/>
      <c r="F2" s="57" t="s">
        <v>17</v>
      </c>
      <c r="G2" s="91" t="s">
        <v>20</v>
      </c>
      <c r="H2" s="91" t="s">
        <v>23</v>
      </c>
      <c r="I2" s="92" t="s">
        <v>73</v>
      </c>
      <c r="J2" s="66">
        <v>1.0</v>
      </c>
      <c r="K2" s="66">
        <v>1.0</v>
      </c>
      <c r="L2" s="66">
        <v>1.0</v>
      </c>
      <c r="M2" s="66">
        <v>1.0</v>
      </c>
      <c r="N2" s="66">
        <v>1.0</v>
      </c>
      <c r="O2" s="66">
        <v>1.0</v>
      </c>
      <c r="P2" s="66">
        <v>1.0</v>
      </c>
      <c r="Q2" s="66">
        <v>1.0</v>
      </c>
      <c r="R2" s="66">
        <v>1.0</v>
      </c>
      <c r="S2" s="66">
        <v>1.0</v>
      </c>
      <c r="T2" s="66">
        <v>1.0</v>
      </c>
      <c r="U2" s="66">
        <v>1.0</v>
      </c>
      <c r="V2" s="66">
        <v>1.0</v>
      </c>
      <c r="W2" s="66">
        <v>1.0</v>
      </c>
      <c r="X2" s="66">
        <v>1.0</v>
      </c>
      <c r="Y2" s="66">
        <v>1.0</v>
      </c>
      <c r="Z2" s="66">
        <v>1.0</v>
      </c>
      <c r="AA2" s="66">
        <v>1.0</v>
      </c>
      <c r="AB2" s="66">
        <v>1.0</v>
      </c>
      <c r="AC2" s="66">
        <v>1.0</v>
      </c>
      <c r="AD2" s="66">
        <v>1.0</v>
      </c>
      <c r="AE2" s="66">
        <v>1.0</v>
      </c>
      <c r="AF2" s="66">
        <v>1.0</v>
      </c>
      <c r="AG2" s="66">
        <v>1.0</v>
      </c>
      <c r="AH2" s="66">
        <v>1.0</v>
      </c>
      <c r="AI2" s="66">
        <v>1.0</v>
      </c>
      <c r="AJ2" s="66">
        <v>1.0</v>
      </c>
      <c r="AK2" s="66">
        <v>1.0</v>
      </c>
      <c r="AL2" s="66">
        <v>1.0</v>
      </c>
      <c r="AM2" s="66">
        <v>1.0</v>
      </c>
      <c r="AN2" s="66">
        <v>1.0</v>
      </c>
      <c r="AO2" s="93">
        <f t="shared" ref="AO2:AO22" si="1">AN2+AM2+AL2+AK2+AJ2+AI2+AH2+AG2+AF2+AE2+AD2+AC2+AB2+AA2+Z2+Y2+X2+W2+V2+U2+T2+S2+R2+Q2+P2+O2+N2+M2+L2+K2+J2</f>
        <v>31</v>
      </c>
      <c r="AP2" s="94" t="s">
        <v>34</v>
      </c>
    </row>
    <row r="3">
      <c r="A3" s="95" t="s">
        <v>11</v>
      </c>
      <c r="B3" s="33" t="s">
        <v>141</v>
      </c>
      <c r="C3" s="88" t="s">
        <v>56</v>
      </c>
      <c r="D3" s="89" t="s">
        <v>16</v>
      </c>
      <c r="E3" s="90">
        <v>46162.0</v>
      </c>
      <c r="F3" s="96" t="s">
        <v>18</v>
      </c>
      <c r="G3" s="97" t="s">
        <v>142</v>
      </c>
      <c r="H3" s="97" t="s">
        <v>134</v>
      </c>
      <c r="I3" s="92" t="s">
        <v>25</v>
      </c>
      <c r="J3" s="70"/>
      <c r="K3" s="70"/>
      <c r="L3" s="70"/>
      <c r="M3" s="70"/>
      <c r="N3" s="98"/>
      <c r="O3" s="70"/>
      <c r="P3" s="98"/>
      <c r="Q3" s="70"/>
      <c r="R3" s="70"/>
      <c r="S3" s="70"/>
      <c r="T3" s="70"/>
      <c r="U3" s="70"/>
      <c r="V3" s="70"/>
      <c r="W3" s="70"/>
      <c r="X3" s="70"/>
      <c r="Y3" s="70"/>
      <c r="Z3" s="98"/>
      <c r="AA3" s="70"/>
      <c r="AB3" s="98"/>
      <c r="AC3" s="66"/>
      <c r="AD3" s="99"/>
      <c r="AE3" s="66">
        <v>1.0</v>
      </c>
      <c r="AF3" s="66"/>
      <c r="AG3" s="66"/>
      <c r="AH3" s="66">
        <v>1.0</v>
      </c>
      <c r="AI3" s="99"/>
      <c r="AJ3" s="66">
        <v>1.0</v>
      </c>
      <c r="AK3" s="99"/>
      <c r="AL3" s="66">
        <v>1.0</v>
      </c>
      <c r="AM3" s="66"/>
      <c r="AN3" s="99"/>
      <c r="AO3" s="93">
        <f t="shared" si="1"/>
        <v>4</v>
      </c>
      <c r="AP3" s="94" t="s">
        <v>34</v>
      </c>
    </row>
    <row r="4">
      <c r="A4" s="100" t="s">
        <v>40</v>
      </c>
      <c r="B4" s="33" t="s">
        <v>78</v>
      </c>
      <c r="C4" s="88" t="s">
        <v>79</v>
      </c>
      <c r="D4" s="89"/>
      <c r="E4" s="90"/>
      <c r="F4" s="96" t="s">
        <v>81</v>
      </c>
      <c r="G4" s="96" t="s">
        <v>82</v>
      </c>
      <c r="H4" s="96" t="s">
        <v>83</v>
      </c>
      <c r="I4" s="92" t="s">
        <v>25</v>
      </c>
      <c r="J4" s="66"/>
      <c r="K4" s="66"/>
      <c r="L4" s="66"/>
      <c r="M4" s="66">
        <v>1.0</v>
      </c>
      <c r="N4" s="99"/>
      <c r="O4" s="66">
        <v>1.0</v>
      </c>
      <c r="P4" s="99"/>
      <c r="Q4" s="66">
        <v>1.0</v>
      </c>
      <c r="R4" s="66"/>
      <c r="S4" s="66"/>
      <c r="T4" s="66">
        <v>1.0</v>
      </c>
      <c r="U4" s="66"/>
      <c r="V4" s="66">
        <v>1.0</v>
      </c>
      <c r="W4" s="66"/>
      <c r="X4" s="66">
        <v>1.0</v>
      </c>
      <c r="Y4" s="66"/>
      <c r="Z4" s="99"/>
      <c r="AA4" s="66">
        <v>1.0</v>
      </c>
      <c r="AB4" s="99"/>
      <c r="AC4" s="66">
        <v>1.0</v>
      </c>
      <c r="AD4" s="99"/>
      <c r="AE4" s="66">
        <v>1.0</v>
      </c>
      <c r="AF4" s="66"/>
      <c r="AG4" s="66"/>
      <c r="AH4" s="66">
        <v>1.0</v>
      </c>
      <c r="AI4" s="99"/>
      <c r="AJ4" s="66">
        <v>1.0</v>
      </c>
      <c r="AK4" s="99"/>
      <c r="AL4" s="66">
        <v>1.0</v>
      </c>
      <c r="AM4" s="66"/>
      <c r="AN4" s="99"/>
      <c r="AO4" s="93">
        <f t="shared" si="1"/>
        <v>12</v>
      </c>
      <c r="AP4" s="94" t="s">
        <v>34</v>
      </c>
    </row>
    <row r="5">
      <c r="A5" s="43" t="s">
        <v>52</v>
      </c>
      <c r="B5" s="86" t="s">
        <v>61</v>
      </c>
      <c r="C5" s="103" t="s">
        <v>26</v>
      </c>
      <c r="D5" s="89"/>
      <c r="E5" s="105"/>
      <c r="F5" s="96" t="s">
        <v>18</v>
      </c>
      <c r="G5" s="96" t="s">
        <v>63</v>
      </c>
      <c r="H5" s="96" t="s">
        <v>65</v>
      </c>
      <c r="I5" s="106" t="s">
        <v>30</v>
      </c>
      <c r="J5" s="107"/>
      <c r="K5" s="107"/>
      <c r="L5" s="107"/>
      <c r="M5" s="107"/>
      <c r="N5" s="107">
        <v>1.0</v>
      </c>
      <c r="O5" s="107"/>
      <c r="P5" s="107">
        <v>1.0</v>
      </c>
      <c r="Q5" s="107"/>
      <c r="R5" s="107"/>
      <c r="S5" s="86"/>
      <c r="T5" s="86"/>
      <c r="U5" s="108">
        <v>1.0</v>
      </c>
      <c r="V5" s="108"/>
      <c r="W5" s="108">
        <v>1.0</v>
      </c>
      <c r="X5" s="108"/>
      <c r="Y5" s="108"/>
      <c r="Z5" s="108"/>
      <c r="AA5" s="108"/>
      <c r="AB5" s="108">
        <v>1.0</v>
      </c>
      <c r="AC5" s="108"/>
      <c r="AD5" s="108">
        <v>1.0</v>
      </c>
      <c r="AE5" s="108"/>
      <c r="AF5" s="108"/>
      <c r="AG5" s="108"/>
      <c r="AH5" s="108"/>
      <c r="AI5" s="108">
        <v>1.0</v>
      </c>
      <c r="AJ5" s="108"/>
      <c r="AK5" s="108">
        <v>1.0</v>
      </c>
      <c r="AL5" s="108"/>
      <c r="AM5" s="108"/>
      <c r="AN5" s="86"/>
      <c r="AO5" s="110">
        <f t="shared" si="1"/>
        <v>8</v>
      </c>
      <c r="AP5" s="94" t="s">
        <v>151</v>
      </c>
    </row>
    <row r="6">
      <c r="A6" s="55"/>
      <c r="B6" s="68" t="s">
        <v>152</v>
      </c>
      <c r="C6" s="103" t="s">
        <v>153</v>
      </c>
      <c r="D6" s="89" t="s">
        <v>16</v>
      </c>
      <c r="E6" s="105">
        <v>46155.0</v>
      </c>
      <c r="F6" s="57" t="s">
        <v>154</v>
      </c>
      <c r="G6" s="112" t="s">
        <v>156</v>
      </c>
      <c r="H6" s="112" t="s">
        <v>157</v>
      </c>
      <c r="I6" s="106" t="s">
        <v>158</v>
      </c>
      <c r="J6" s="70"/>
      <c r="K6" s="70"/>
      <c r="L6" s="70"/>
      <c r="M6" s="70"/>
      <c r="N6" s="70"/>
      <c r="O6" s="70"/>
      <c r="P6" s="70"/>
      <c r="Q6" s="70"/>
      <c r="R6" s="70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6"/>
      <c r="AM6" s="116"/>
      <c r="AN6" s="116"/>
      <c r="AO6" s="93">
        <f t="shared" si="1"/>
        <v>0</v>
      </c>
      <c r="AP6" s="94" t="s">
        <v>34</v>
      </c>
    </row>
    <row r="7">
      <c r="A7" s="117"/>
      <c r="B7" s="68" t="s">
        <v>72</v>
      </c>
      <c r="C7" s="103" t="s">
        <v>56</v>
      </c>
      <c r="D7" s="89"/>
      <c r="E7" s="105"/>
      <c r="F7" s="57" t="s">
        <v>18</v>
      </c>
      <c r="G7" s="114" t="s">
        <v>45</v>
      </c>
      <c r="H7" s="114" t="s">
        <v>46</v>
      </c>
      <c r="I7" s="106" t="s">
        <v>73</v>
      </c>
      <c r="J7" s="66">
        <v>1.0</v>
      </c>
      <c r="K7" s="66">
        <v>1.0</v>
      </c>
      <c r="L7" s="66">
        <v>1.0</v>
      </c>
      <c r="M7" s="66">
        <v>1.0</v>
      </c>
      <c r="N7" s="66">
        <v>1.0</v>
      </c>
      <c r="O7" s="66">
        <v>1.0</v>
      </c>
      <c r="P7" s="66">
        <v>1.0</v>
      </c>
      <c r="Q7" s="66">
        <v>1.0</v>
      </c>
      <c r="R7" s="66">
        <v>1.0</v>
      </c>
      <c r="S7" s="57">
        <v>1.0</v>
      </c>
      <c r="T7" s="57">
        <v>1.0</v>
      </c>
      <c r="U7" s="57">
        <v>1.0</v>
      </c>
      <c r="V7" s="57">
        <v>1.0</v>
      </c>
      <c r="W7" s="57">
        <v>1.0</v>
      </c>
      <c r="X7" s="57">
        <v>1.0</v>
      </c>
      <c r="Y7" s="57">
        <v>1.0</v>
      </c>
      <c r="Z7" s="57">
        <v>1.0</v>
      </c>
      <c r="AA7" s="57">
        <v>1.0</v>
      </c>
      <c r="AB7" s="57">
        <v>1.0</v>
      </c>
      <c r="AC7" s="57">
        <v>1.0</v>
      </c>
      <c r="AD7" s="57">
        <v>1.0</v>
      </c>
      <c r="AE7" s="57">
        <v>1.0</v>
      </c>
      <c r="AF7" s="57">
        <v>1.0</v>
      </c>
      <c r="AG7" s="57">
        <v>1.0</v>
      </c>
      <c r="AH7" s="57">
        <v>1.0</v>
      </c>
      <c r="AI7" s="57">
        <v>1.0</v>
      </c>
      <c r="AJ7" s="57">
        <v>1.0</v>
      </c>
      <c r="AK7" s="57">
        <v>1.0</v>
      </c>
      <c r="AL7" s="69">
        <v>1.0</v>
      </c>
      <c r="AM7" s="69">
        <v>1.0</v>
      </c>
      <c r="AN7" s="69">
        <v>1.0</v>
      </c>
      <c r="AO7" s="93">
        <f t="shared" si="1"/>
        <v>31</v>
      </c>
      <c r="AP7" s="94" t="s">
        <v>34</v>
      </c>
    </row>
    <row r="8">
      <c r="A8" s="119"/>
      <c r="B8" s="121" t="s">
        <v>163</v>
      </c>
      <c r="C8" s="103" t="s">
        <v>164</v>
      </c>
      <c r="D8" s="89" t="s">
        <v>16</v>
      </c>
      <c r="E8" s="105">
        <v>46150.0</v>
      </c>
      <c r="F8" s="57" t="s">
        <v>18</v>
      </c>
      <c r="G8" s="124" t="s">
        <v>133</v>
      </c>
      <c r="H8" s="126" t="s">
        <v>134</v>
      </c>
      <c r="I8" s="106" t="s">
        <v>25</v>
      </c>
      <c r="J8" s="70"/>
      <c r="K8" s="70"/>
      <c r="L8" s="70"/>
      <c r="M8" s="70"/>
      <c r="N8" s="98"/>
      <c r="O8" s="70"/>
      <c r="P8" s="98"/>
      <c r="Q8" s="66">
        <v>1.0</v>
      </c>
      <c r="R8" s="66"/>
      <c r="S8" s="66"/>
      <c r="T8" s="66">
        <v>1.0</v>
      </c>
      <c r="U8" s="99"/>
      <c r="V8" s="66">
        <v>1.0</v>
      </c>
      <c r="W8" s="99"/>
      <c r="X8" s="66">
        <v>1.0</v>
      </c>
      <c r="Y8" s="66"/>
      <c r="Z8" s="66"/>
      <c r="AA8" s="66">
        <v>1.0</v>
      </c>
      <c r="AB8" s="99"/>
      <c r="AC8" s="66">
        <v>1.0</v>
      </c>
      <c r="AD8" s="99"/>
      <c r="AE8" s="66">
        <v>1.0</v>
      </c>
      <c r="AF8" s="66"/>
      <c r="AG8" s="66"/>
      <c r="AH8" s="66">
        <v>1.0</v>
      </c>
      <c r="AI8" s="99"/>
      <c r="AJ8" s="107"/>
      <c r="AK8" s="107"/>
      <c r="AL8" s="107"/>
      <c r="AM8" s="107"/>
      <c r="AN8" s="107"/>
      <c r="AO8" s="93">
        <f t="shared" si="1"/>
        <v>8</v>
      </c>
      <c r="AP8" s="94" t="s">
        <v>167</v>
      </c>
    </row>
    <row r="9">
      <c r="A9" s="119"/>
      <c r="B9" s="57" t="s">
        <v>41</v>
      </c>
      <c r="C9" s="103" t="s">
        <v>15</v>
      </c>
      <c r="D9" s="89"/>
      <c r="E9" s="105"/>
      <c r="F9" s="57" t="s">
        <v>18</v>
      </c>
      <c r="G9" s="57" t="s">
        <v>75</v>
      </c>
      <c r="H9" s="57" t="s">
        <v>76</v>
      </c>
      <c r="I9" s="106" t="s">
        <v>25</v>
      </c>
      <c r="J9" s="66">
        <v>1.0</v>
      </c>
      <c r="K9" s="66"/>
      <c r="L9" s="66"/>
      <c r="M9" s="66">
        <v>1.0</v>
      </c>
      <c r="N9" s="99"/>
      <c r="O9" s="66">
        <v>1.0</v>
      </c>
      <c r="P9" s="99"/>
      <c r="Q9" s="66">
        <v>1.0</v>
      </c>
      <c r="R9" s="66"/>
      <c r="S9" s="66"/>
      <c r="T9" s="66">
        <v>1.0</v>
      </c>
      <c r="U9" s="99"/>
      <c r="V9" s="66">
        <v>1.0</v>
      </c>
      <c r="W9" s="99"/>
      <c r="X9" s="66">
        <v>1.0</v>
      </c>
      <c r="Y9" s="66"/>
      <c r="Z9" s="66"/>
      <c r="AA9" s="66">
        <v>1.0</v>
      </c>
      <c r="AB9" s="99"/>
      <c r="AC9" s="66">
        <v>1.0</v>
      </c>
      <c r="AD9" s="99"/>
      <c r="AE9" s="66">
        <v>1.0</v>
      </c>
      <c r="AF9" s="66"/>
      <c r="AG9" s="66"/>
      <c r="AH9" s="66">
        <v>1.0</v>
      </c>
      <c r="AI9" s="99"/>
      <c r="AJ9" s="66">
        <v>1.0</v>
      </c>
      <c r="AK9" s="99"/>
      <c r="AL9" s="66">
        <v>1.0</v>
      </c>
      <c r="AM9" s="66"/>
      <c r="AN9" s="99"/>
      <c r="AO9" s="93">
        <f t="shared" si="1"/>
        <v>13</v>
      </c>
      <c r="AP9" s="94" t="s">
        <v>34</v>
      </c>
    </row>
    <row r="10" ht="18.75" customHeight="1">
      <c r="A10" s="119"/>
      <c r="B10" s="57" t="s">
        <v>41</v>
      </c>
      <c r="C10" s="88" t="s">
        <v>15</v>
      </c>
      <c r="D10" s="89" t="s">
        <v>33</v>
      </c>
      <c r="E10" s="90">
        <v>46174.0</v>
      </c>
      <c r="F10" s="57" t="s">
        <v>18</v>
      </c>
      <c r="G10" s="57" t="s">
        <v>75</v>
      </c>
      <c r="H10" s="57" t="s">
        <v>76</v>
      </c>
      <c r="I10" s="92" t="s">
        <v>30</v>
      </c>
      <c r="J10" s="98"/>
      <c r="K10" s="98"/>
      <c r="L10" s="70"/>
      <c r="M10" s="98"/>
      <c r="N10" s="70"/>
      <c r="O10" s="98"/>
      <c r="P10" s="70"/>
      <c r="Q10" s="98"/>
      <c r="R10" s="98"/>
      <c r="S10" s="70"/>
      <c r="T10" s="98"/>
      <c r="U10" s="70"/>
      <c r="V10" s="98"/>
      <c r="W10" s="70"/>
      <c r="X10" s="98"/>
      <c r="Y10" s="98"/>
      <c r="Z10" s="70"/>
      <c r="AA10" s="98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93">
        <f t="shared" si="1"/>
        <v>0</v>
      </c>
      <c r="AP10" s="120" t="s">
        <v>34</v>
      </c>
    </row>
    <row r="11" ht="18.75" customHeight="1">
      <c r="A11" s="119"/>
      <c r="B11" s="86" t="s">
        <v>86</v>
      </c>
      <c r="C11" s="88" t="s">
        <v>56</v>
      </c>
      <c r="D11" s="89"/>
      <c r="E11" s="90"/>
      <c r="F11" s="96" t="s">
        <v>17</v>
      </c>
      <c r="G11" s="136" t="s">
        <v>109</v>
      </c>
      <c r="H11" s="136" t="s">
        <v>110</v>
      </c>
      <c r="I11" s="92" t="s">
        <v>30</v>
      </c>
      <c r="J11" s="99"/>
      <c r="K11" s="99"/>
      <c r="L11" s="66"/>
      <c r="M11" s="99"/>
      <c r="N11" s="66">
        <v>1.0</v>
      </c>
      <c r="O11" s="99"/>
      <c r="P11" s="66">
        <v>1.0</v>
      </c>
      <c r="Q11" s="99"/>
      <c r="R11" s="99"/>
      <c r="S11" s="66"/>
      <c r="T11" s="99"/>
      <c r="U11" s="66">
        <v>1.0</v>
      </c>
      <c r="V11" s="99"/>
      <c r="W11" s="66">
        <v>1.0</v>
      </c>
      <c r="X11" s="99"/>
      <c r="Y11" s="99"/>
      <c r="Z11" s="66"/>
      <c r="AA11" s="99"/>
      <c r="AB11" s="66">
        <v>1.0</v>
      </c>
      <c r="AC11" s="66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93">
        <f t="shared" si="1"/>
        <v>5</v>
      </c>
      <c r="AP11" s="120" t="s">
        <v>178</v>
      </c>
    </row>
    <row r="12">
      <c r="A12" s="119"/>
      <c r="B12" s="57" t="s">
        <v>89</v>
      </c>
      <c r="C12" s="103" t="s">
        <v>44</v>
      </c>
      <c r="D12" s="89"/>
      <c r="E12" s="105"/>
      <c r="F12" s="57" t="s">
        <v>18</v>
      </c>
      <c r="G12" s="125" t="s">
        <v>90</v>
      </c>
      <c r="H12" s="125" t="s">
        <v>91</v>
      </c>
      <c r="I12" s="106" t="s">
        <v>30</v>
      </c>
      <c r="J12" s="99"/>
      <c r="K12" s="66"/>
      <c r="L12" s="66"/>
      <c r="M12" s="99"/>
      <c r="N12" s="66">
        <v>1.0</v>
      </c>
      <c r="O12" s="99"/>
      <c r="P12" s="66">
        <v>1.0</v>
      </c>
      <c r="Q12" s="99"/>
      <c r="R12" s="66"/>
      <c r="S12" s="66"/>
      <c r="T12" s="99"/>
      <c r="U12" s="66">
        <v>1.0</v>
      </c>
      <c r="V12" s="99"/>
      <c r="W12" s="66">
        <v>1.0</v>
      </c>
      <c r="X12" s="99"/>
      <c r="Y12" s="66"/>
      <c r="Z12" s="99"/>
      <c r="AA12" s="99"/>
      <c r="AB12" s="66">
        <v>1.0</v>
      </c>
      <c r="AC12" s="99"/>
      <c r="AD12" s="66">
        <v>1.0</v>
      </c>
      <c r="AE12" s="99"/>
      <c r="AF12" s="66"/>
      <c r="AG12" s="66"/>
      <c r="AH12" s="66"/>
      <c r="AI12" s="66">
        <v>1.0</v>
      </c>
      <c r="AJ12" s="99"/>
      <c r="AK12" s="66">
        <v>1.0</v>
      </c>
      <c r="AL12" s="99"/>
      <c r="AM12" s="66"/>
      <c r="AN12" s="99"/>
      <c r="AO12" s="93">
        <f t="shared" si="1"/>
        <v>8</v>
      </c>
      <c r="AP12" s="120" t="s">
        <v>34</v>
      </c>
    </row>
    <row r="13">
      <c r="A13" s="55"/>
      <c r="B13" s="57" t="s">
        <v>92</v>
      </c>
      <c r="C13" s="88" t="s">
        <v>93</v>
      </c>
      <c r="D13" s="89"/>
      <c r="E13" s="90"/>
      <c r="F13" s="57" t="s">
        <v>18</v>
      </c>
      <c r="G13" s="131" t="s">
        <v>94</v>
      </c>
      <c r="H13" s="96" t="s">
        <v>95</v>
      </c>
      <c r="I13" s="92" t="s">
        <v>25</v>
      </c>
      <c r="J13" s="66"/>
      <c r="K13" s="99"/>
      <c r="L13" s="66"/>
      <c r="M13" s="66">
        <v>1.0</v>
      </c>
      <c r="N13" s="99"/>
      <c r="O13" s="66">
        <v>1.0</v>
      </c>
      <c r="P13" s="99"/>
      <c r="Q13" s="66">
        <v>1.0</v>
      </c>
      <c r="R13" s="66"/>
      <c r="S13" s="66"/>
      <c r="T13" s="66">
        <v>1.0</v>
      </c>
      <c r="U13" s="66"/>
      <c r="V13" s="66">
        <v>1.0</v>
      </c>
      <c r="W13" s="99"/>
      <c r="X13" s="66">
        <v>1.0</v>
      </c>
      <c r="Y13" s="66"/>
      <c r="Z13" s="66"/>
      <c r="AA13" s="66">
        <v>1.0</v>
      </c>
      <c r="AB13" s="66"/>
      <c r="AC13" s="66">
        <v>1.0</v>
      </c>
      <c r="AD13" s="99"/>
      <c r="AE13" s="66">
        <v>1.0</v>
      </c>
      <c r="AF13" s="66"/>
      <c r="AG13" s="66"/>
      <c r="AH13" s="66">
        <v>1.0</v>
      </c>
      <c r="AI13" s="66"/>
      <c r="AJ13" s="66">
        <v>1.0</v>
      </c>
      <c r="AK13" s="99"/>
      <c r="AL13" s="66">
        <v>1.0</v>
      </c>
      <c r="AM13" s="66"/>
      <c r="AN13" s="66">
        <v>1.0</v>
      </c>
      <c r="AO13" s="93">
        <f t="shared" si="1"/>
        <v>13</v>
      </c>
      <c r="AP13" s="94" t="s">
        <v>34</v>
      </c>
    </row>
    <row r="14">
      <c r="A14" s="55"/>
      <c r="B14" s="57" t="s">
        <v>100</v>
      </c>
      <c r="C14" s="88" t="s">
        <v>15</v>
      </c>
      <c r="D14" s="89"/>
      <c r="E14" s="90"/>
      <c r="F14" s="96" t="s">
        <v>101</v>
      </c>
      <c r="G14" s="96" t="s">
        <v>102</v>
      </c>
      <c r="H14" s="96" t="s">
        <v>103</v>
      </c>
      <c r="I14" s="92" t="s">
        <v>73</v>
      </c>
      <c r="J14" s="66">
        <v>1.0</v>
      </c>
      <c r="K14" s="66">
        <v>1.0</v>
      </c>
      <c r="L14" s="66">
        <v>1.0</v>
      </c>
      <c r="M14" s="66">
        <v>1.0</v>
      </c>
      <c r="N14" s="66">
        <v>1.0</v>
      </c>
      <c r="O14" s="66">
        <v>1.0</v>
      </c>
      <c r="P14" s="66">
        <v>1.0</v>
      </c>
      <c r="Q14" s="66">
        <v>1.0</v>
      </c>
      <c r="R14" s="66">
        <v>1.0</v>
      </c>
      <c r="S14" s="66">
        <v>1.0</v>
      </c>
      <c r="T14" s="66">
        <v>1.0</v>
      </c>
      <c r="U14" s="66">
        <v>1.0</v>
      </c>
      <c r="V14" s="66">
        <v>1.0</v>
      </c>
      <c r="W14" s="66">
        <v>1.0</v>
      </c>
      <c r="X14" s="66">
        <v>1.0</v>
      </c>
      <c r="Y14" s="66">
        <v>1.0</v>
      </c>
      <c r="Z14" s="66">
        <v>1.0</v>
      </c>
      <c r="AA14" s="66">
        <v>1.0</v>
      </c>
      <c r="AB14" s="66">
        <v>1.0</v>
      </c>
      <c r="AC14" s="66">
        <v>1.0</v>
      </c>
      <c r="AD14" s="66">
        <v>1.0</v>
      </c>
      <c r="AE14" s="66">
        <v>1.0</v>
      </c>
      <c r="AF14" s="66">
        <v>1.0</v>
      </c>
      <c r="AG14" s="66">
        <v>1.0</v>
      </c>
      <c r="AH14" s="66">
        <v>1.0</v>
      </c>
      <c r="AI14" s="66">
        <v>1.0</v>
      </c>
      <c r="AJ14" s="66">
        <v>1.0</v>
      </c>
      <c r="AK14" s="66">
        <v>1.0</v>
      </c>
      <c r="AL14" s="66">
        <v>1.0</v>
      </c>
      <c r="AM14" s="66">
        <v>1.0</v>
      </c>
      <c r="AN14" s="66">
        <v>1.0</v>
      </c>
      <c r="AO14" s="93">
        <f t="shared" si="1"/>
        <v>31</v>
      </c>
      <c r="AP14" s="94"/>
    </row>
    <row r="15">
      <c r="A15" s="55"/>
      <c r="B15" s="96" t="s">
        <v>187</v>
      </c>
      <c r="C15" s="88" t="s">
        <v>56</v>
      </c>
      <c r="D15" s="89" t="s">
        <v>16</v>
      </c>
      <c r="E15" s="105">
        <v>46153.0</v>
      </c>
      <c r="F15" s="96" t="s">
        <v>18</v>
      </c>
      <c r="G15" s="148" t="s">
        <v>189</v>
      </c>
      <c r="H15" s="148" t="s">
        <v>190</v>
      </c>
      <c r="I15" s="92" t="s">
        <v>24</v>
      </c>
      <c r="J15" s="70"/>
      <c r="K15" s="70"/>
      <c r="L15" s="70"/>
      <c r="M15" s="70"/>
      <c r="N15" s="98"/>
      <c r="O15" s="70"/>
      <c r="P15" s="70"/>
      <c r="Q15" s="70"/>
      <c r="R15" s="70"/>
      <c r="S15" s="70"/>
      <c r="T15" s="70">
        <v>1.0</v>
      </c>
      <c r="U15" s="98"/>
      <c r="V15" s="70"/>
      <c r="W15" s="98"/>
      <c r="X15" s="115"/>
      <c r="Y15" s="115"/>
      <c r="Z15" s="115"/>
      <c r="AA15" s="115">
        <v>1.0</v>
      </c>
      <c r="AB15" s="115">
        <v>1.0</v>
      </c>
      <c r="AC15" s="115">
        <v>1.0</v>
      </c>
      <c r="AD15" s="115">
        <v>1.0</v>
      </c>
      <c r="AE15" s="115">
        <v>1.0</v>
      </c>
      <c r="AF15" s="115"/>
      <c r="AG15" s="115"/>
      <c r="AH15" s="115">
        <v>1.0</v>
      </c>
      <c r="AI15" s="115">
        <v>1.0</v>
      </c>
      <c r="AJ15" s="115">
        <v>1.0</v>
      </c>
      <c r="AK15" s="115">
        <v>1.0</v>
      </c>
      <c r="AL15" s="116">
        <v>1.0</v>
      </c>
      <c r="AM15" s="116"/>
      <c r="AN15" s="116"/>
      <c r="AO15" s="93">
        <f t="shared" si="1"/>
        <v>11</v>
      </c>
      <c r="AP15" s="120" t="s">
        <v>178</v>
      </c>
    </row>
    <row r="16">
      <c r="A16" s="55"/>
      <c r="B16" s="67" t="s">
        <v>187</v>
      </c>
      <c r="C16" s="88" t="s">
        <v>56</v>
      </c>
      <c r="D16" s="89" t="s">
        <v>47</v>
      </c>
      <c r="E16" s="105">
        <v>46154.0</v>
      </c>
      <c r="F16" s="96" t="s">
        <v>18</v>
      </c>
      <c r="G16" s="135" t="s">
        <v>36</v>
      </c>
      <c r="H16" s="135" t="s">
        <v>37</v>
      </c>
      <c r="I16" s="92" t="s">
        <v>24</v>
      </c>
      <c r="J16" s="70"/>
      <c r="K16" s="70"/>
      <c r="L16" s="70"/>
      <c r="M16" s="70"/>
      <c r="N16" s="98"/>
      <c r="O16" s="70"/>
      <c r="P16" s="70"/>
      <c r="Q16" s="70"/>
      <c r="R16" s="70"/>
      <c r="S16" s="70"/>
      <c r="T16" s="70"/>
      <c r="U16" s="66">
        <v>1.0</v>
      </c>
      <c r="V16" s="66">
        <v>1.0</v>
      </c>
      <c r="W16" s="66">
        <v>1.0</v>
      </c>
      <c r="X16" s="57">
        <v>1.0</v>
      </c>
      <c r="Y16" s="57"/>
      <c r="Z16" s="57"/>
      <c r="AA16" s="57"/>
      <c r="AB16" s="57"/>
      <c r="AC16" s="57"/>
      <c r="AD16" s="57"/>
      <c r="AE16" s="57"/>
      <c r="AF16" s="57"/>
      <c r="AG16" s="153"/>
      <c r="AH16" s="153"/>
      <c r="AI16" s="153"/>
      <c r="AJ16" s="153"/>
      <c r="AK16" s="153"/>
      <c r="AL16" s="153"/>
      <c r="AM16" s="153"/>
      <c r="AN16" s="153"/>
      <c r="AO16" s="93">
        <f t="shared" si="1"/>
        <v>4</v>
      </c>
      <c r="AP16" s="120" t="s">
        <v>200</v>
      </c>
    </row>
    <row r="17">
      <c r="A17" s="55"/>
      <c r="B17" s="96" t="s">
        <v>202</v>
      </c>
      <c r="C17" s="88" t="s">
        <v>56</v>
      </c>
      <c r="D17" s="89" t="s">
        <v>16</v>
      </c>
      <c r="E17" s="105">
        <v>46155.0</v>
      </c>
      <c r="F17" s="96" t="s">
        <v>180</v>
      </c>
      <c r="G17" s="126" t="s">
        <v>181</v>
      </c>
      <c r="H17" s="126" t="s">
        <v>46</v>
      </c>
      <c r="I17" s="92" t="s">
        <v>25</v>
      </c>
      <c r="J17" s="70"/>
      <c r="K17" s="70"/>
      <c r="L17" s="70"/>
      <c r="M17" s="70"/>
      <c r="N17" s="98"/>
      <c r="O17" s="70"/>
      <c r="P17" s="70"/>
      <c r="Q17" s="70"/>
      <c r="R17" s="70"/>
      <c r="S17" s="70"/>
      <c r="T17" s="70"/>
      <c r="U17" s="98"/>
      <c r="V17" s="66">
        <v>1.0</v>
      </c>
      <c r="W17" s="66">
        <v>1.0</v>
      </c>
      <c r="X17" s="57">
        <v>1.0</v>
      </c>
      <c r="Y17" s="57"/>
      <c r="Z17" s="57"/>
      <c r="AA17" s="57">
        <v>1.0</v>
      </c>
      <c r="AB17" s="57"/>
      <c r="AC17" s="57">
        <v>1.0</v>
      </c>
      <c r="AD17" s="57"/>
      <c r="AE17" s="57">
        <v>1.0</v>
      </c>
      <c r="AF17" s="57"/>
      <c r="AG17" s="57"/>
      <c r="AH17" s="57">
        <v>1.0</v>
      </c>
      <c r="AI17" s="57"/>
      <c r="AJ17" s="57">
        <v>1.0</v>
      </c>
      <c r="AK17" s="57"/>
      <c r="AL17" s="69">
        <v>1.0</v>
      </c>
      <c r="AM17" s="69"/>
      <c r="AN17" s="69"/>
      <c r="AO17" s="93">
        <f t="shared" si="1"/>
        <v>9</v>
      </c>
      <c r="AP17" s="120"/>
    </row>
    <row r="18">
      <c r="A18" s="55"/>
      <c r="B18" s="96" t="s">
        <v>111</v>
      </c>
      <c r="C18" s="88" t="s">
        <v>56</v>
      </c>
      <c r="D18" s="89"/>
      <c r="E18" s="105"/>
      <c r="F18" s="96" t="s">
        <v>112</v>
      </c>
      <c r="G18" s="114" t="s">
        <v>113</v>
      </c>
      <c r="H18" s="114" t="s">
        <v>115</v>
      </c>
      <c r="I18" s="92" t="s">
        <v>25</v>
      </c>
      <c r="J18" s="66">
        <v>1.0</v>
      </c>
      <c r="K18" s="66"/>
      <c r="L18" s="66"/>
      <c r="M18" s="66">
        <v>1.0</v>
      </c>
      <c r="N18" s="99"/>
      <c r="O18" s="66">
        <v>1.0</v>
      </c>
      <c r="P18" s="66"/>
      <c r="Q18" s="66">
        <v>1.0</v>
      </c>
      <c r="R18" s="66"/>
      <c r="S18" s="66"/>
      <c r="T18" s="66">
        <v>1.0</v>
      </c>
      <c r="U18" s="99"/>
      <c r="V18" s="66">
        <v>1.0</v>
      </c>
      <c r="W18" s="99"/>
      <c r="X18" s="57">
        <v>1.0</v>
      </c>
      <c r="Y18" s="57"/>
      <c r="Z18" s="57"/>
      <c r="AA18" s="57">
        <v>1.0</v>
      </c>
      <c r="AB18" s="57"/>
      <c r="AC18" s="57">
        <v>1.0</v>
      </c>
      <c r="AD18" s="57"/>
      <c r="AE18" s="57">
        <v>1.0</v>
      </c>
      <c r="AF18" s="57"/>
      <c r="AG18" s="57"/>
      <c r="AH18" s="57">
        <v>1.0</v>
      </c>
      <c r="AI18" s="57"/>
      <c r="AJ18" s="57">
        <v>1.0</v>
      </c>
      <c r="AK18" s="57"/>
      <c r="AL18" s="69">
        <v>1.0</v>
      </c>
      <c r="AM18" s="69"/>
      <c r="AN18" s="69"/>
      <c r="AO18" s="93">
        <f t="shared" si="1"/>
        <v>13</v>
      </c>
      <c r="AP18" s="120" t="s">
        <v>211</v>
      </c>
    </row>
    <row r="19">
      <c r="A19" s="55"/>
      <c r="B19" s="57" t="s">
        <v>117</v>
      </c>
      <c r="C19" s="88" t="s">
        <v>56</v>
      </c>
      <c r="D19" s="89"/>
      <c r="E19" s="90"/>
      <c r="F19" s="96" t="s">
        <v>18</v>
      </c>
      <c r="G19" s="96" t="s">
        <v>119</v>
      </c>
      <c r="H19" s="96" t="s">
        <v>120</v>
      </c>
      <c r="I19" s="92" t="s">
        <v>25</v>
      </c>
      <c r="J19" s="66">
        <v>1.0</v>
      </c>
      <c r="K19" s="99"/>
      <c r="L19" s="66"/>
      <c r="M19" s="66">
        <v>1.0</v>
      </c>
      <c r="N19" s="66"/>
      <c r="O19" s="66">
        <v>1.0</v>
      </c>
      <c r="P19" s="66"/>
      <c r="Q19" s="66">
        <v>1.0</v>
      </c>
      <c r="R19" s="66"/>
      <c r="S19" s="66"/>
      <c r="T19" s="66">
        <v>1.0</v>
      </c>
      <c r="U19" s="66"/>
      <c r="V19" s="66">
        <v>1.0</v>
      </c>
      <c r="W19" s="66"/>
      <c r="X19" s="66">
        <v>1.0</v>
      </c>
      <c r="Y19" s="99"/>
      <c r="Z19" s="66"/>
      <c r="AA19" s="66">
        <v>1.0</v>
      </c>
      <c r="AB19" s="99"/>
      <c r="AC19" s="66">
        <v>1.0</v>
      </c>
      <c r="AD19" s="99"/>
      <c r="AE19" s="66">
        <v>1.0</v>
      </c>
      <c r="AF19" s="66"/>
      <c r="AG19" s="66"/>
      <c r="AH19" s="66">
        <v>1.0</v>
      </c>
      <c r="AI19" s="99"/>
      <c r="AJ19" s="66">
        <v>1.0</v>
      </c>
      <c r="AK19" s="99"/>
      <c r="AL19" s="66">
        <v>1.0</v>
      </c>
      <c r="AM19" s="66"/>
      <c r="AN19" s="99"/>
      <c r="AO19" s="93">
        <f t="shared" si="1"/>
        <v>13</v>
      </c>
      <c r="AP19" s="151" t="s">
        <v>34</v>
      </c>
    </row>
    <row r="20" ht="15.75" customHeight="1">
      <c r="A20" s="55"/>
      <c r="B20" s="96" t="s">
        <v>194</v>
      </c>
      <c r="C20" s="88" t="s">
        <v>56</v>
      </c>
      <c r="D20" s="89" t="s">
        <v>16</v>
      </c>
      <c r="E20" s="90">
        <v>46153.0</v>
      </c>
      <c r="F20" s="96" t="s">
        <v>18</v>
      </c>
      <c r="G20" s="156" t="s">
        <v>142</v>
      </c>
      <c r="H20" s="156" t="s">
        <v>134</v>
      </c>
      <c r="I20" s="92" t="s">
        <v>25</v>
      </c>
      <c r="J20" s="98"/>
      <c r="K20" s="70"/>
      <c r="L20" s="70"/>
      <c r="M20" s="70"/>
      <c r="N20" s="70"/>
      <c r="O20" s="70"/>
      <c r="P20" s="70"/>
      <c r="Q20" s="70"/>
      <c r="R20" s="70"/>
      <c r="S20" s="70"/>
      <c r="T20" s="66">
        <v>1.0</v>
      </c>
      <c r="U20" s="66"/>
      <c r="V20" s="66">
        <v>1.0</v>
      </c>
      <c r="W20" s="66"/>
      <c r="X20" s="66">
        <v>1.0</v>
      </c>
      <c r="Y20" s="66"/>
      <c r="Z20" s="66"/>
      <c r="AA20" s="66">
        <v>1.0</v>
      </c>
      <c r="AB20" s="66"/>
      <c r="AC20" s="66">
        <v>1.0</v>
      </c>
      <c r="AD20" s="99"/>
      <c r="AE20" s="66">
        <v>1.0</v>
      </c>
      <c r="AF20" s="66"/>
      <c r="AG20" s="66"/>
      <c r="AH20" s="66">
        <v>1.0</v>
      </c>
      <c r="AI20" s="66"/>
      <c r="AJ20" s="66">
        <v>1.0</v>
      </c>
      <c r="AK20" s="99"/>
      <c r="AL20" s="66">
        <v>1.0</v>
      </c>
      <c r="AM20" s="66"/>
      <c r="AN20" s="66"/>
      <c r="AO20" s="93">
        <f t="shared" si="1"/>
        <v>9</v>
      </c>
      <c r="AP20" s="151" t="s">
        <v>34</v>
      </c>
    </row>
    <row r="21">
      <c r="A21" s="55"/>
      <c r="B21" s="67" t="s">
        <v>123</v>
      </c>
      <c r="C21" s="88" t="s">
        <v>44</v>
      </c>
      <c r="D21" s="89"/>
      <c r="E21" s="90"/>
      <c r="F21" s="96" t="s">
        <v>124</v>
      </c>
      <c r="G21" s="96" t="s">
        <v>125</v>
      </c>
      <c r="H21" s="96" t="s">
        <v>126</v>
      </c>
      <c r="I21" s="92" t="s">
        <v>24</v>
      </c>
      <c r="J21" s="66">
        <v>1.0</v>
      </c>
      <c r="K21" s="66"/>
      <c r="L21" s="66"/>
      <c r="M21" s="66">
        <v>1.0</v>
      </c>
      <c r="N21" s="66">
        <v>1.0</v>
      </c>
      <c r="O21" s="66">
        <v>1.0</v>
      </c>
      <c r="P21" s="66">
        <v>1.0</v>
      </c>
      <c r="Q21" s="66">
        <v>1.0</v>
      </c>
      <c r="R21" s="66"/>
      <c r="S21" s="66"/>
      <c r="T21" s="66">
        <v>1.0</v>
      </c>
      <c r="U21" s="66">
        <v>1.0</v>
      </c>
      <c r="V21" s="66">
        <v>1.0</v>
      </c>
      <c r="W21" s="66">
        <v>1.0</v>
      </c>
      <c r="X21" s="66">
        <v>1.0</v>
      </c>
      <c r="Y21" s="66"/>
      <c r="Z21" s="66"/>
      <c r="AA21" s="66">
        <v>1.0</v>
      </c>
      <c r="AB21" s="66">
        <v>1.0</v>
      </c>
      <c r="AC21" s="66">
        <v>1.0</v>
      </c>
      <c r="AD21" s="66">
        <v>1.0</v>
      </c>
      <c r="AE21" s="66">
        <v>1.0</v>
      </c>
      <c r="AF21" s="66"/>
      <c r="AG21" s="66"/>
      <c r="AH21" s="66">
        <v>1.0</v>
      </c>
      <c r="AI21" s="66">
        <v>1.0</v>
      </c>
      <c r="AJ21" s="109">
        <v>1.0</v>
      </c>
      <c r="AK21" s="109">
        <v>1.0</v>
      </c>
      <c r="AL21" s="109">
        <v>1.0</v>
      </c>
      <c r="AM21" s="109"/>
      <c r="AN21" s="160"/>
      <c r="AO21" s="93">
        <f t="shared" si="1"/>
        <v>21</v>
      </c>
      <c r="AP21" s="151" t="s">
        <v>219</v>
      </c>
    </row>
    <row r="22">
      <c r="A22" s="55"/>
      <c r="B22" s="67" t="s">
        <v>131</v>
      </c>
      <c r="C22" s="88" t="s">
        <v>79</v>
      </c>
      <c r="D22" s="89"/>
      <c r="E22" s="90"/>
      <c r="F22" s="96" t="s">
        <v>18</v>
      </c>
      <c r="G22" s="96" t="s">
        <v>121</v>
      </c>
      <c r="H22" s="96" t="s">
        <v>122</v>
      </c>
      <c r="I22" s="92" t="s">
        <v>25</v>
      </c>
      <c r="J22" s="66">
        <v>1.0</v>
      </c>
      <c r="K22" s="66"/>
      <c r="L22" s="66"/>
      <c r="M22" s="66">
        <v>1.0</v>
      </c>
      <c r="N22" s="66"/>
      <c r="O22" s="66">
        <v>1.0</v>
      </c>
      <c r="P22" s="66"/>
      <c r="Q22" s="66">
        <v>1.0</v>
      </c>
      <c r="R22" s="66"/>
      <c r="S22" s="66"/>
      <c r="T22" s="66">
        <v>1.0</v>
      </c>
      <c r="U22" s="99"/>
      <c r="V22" s="66">
        <v>1.0</v>
      </c>
      <c r="W22" s="99"/>
      <c r="X22" s="66">
        <v>1.0</v>
      </c>
      <c r="Y22" s="66"/>
      <c r="Z22" s="66"/>
      <c r="AA22" s="66"/>
      <c r="AB22" s="99"/>
      <c r="AC22" s="66"/>
      <c r="AD22" s="99"/>
      <c r="AE22" s="66"/>
      <c r="AF22" s="66"/>
      <c r="AG22" s="66"/>
      <c r="AH22" s="66"/>
      <c r="AI22" s="99"/>
      <c r="AJ22" s="66"/>
      <c r="AK22" s="99"/>
      <c r="AL22" s="66"/>
      <c r="AM22" s="109"/>
      <c r="AN22" s="109"/>
      <c r="AO22" s="93">
        <f t="shared" si="1"/>
        <v>7</v>
      </c>
      <c r="AP22" s="151" t="s">
        <v>225</v>
      </c>
    </row>
  </sheetData>
  <dataValidations>
    <dataValidation type="list" allowBlank="1" showErrorMessage="1" sqref="I2:I22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22">
      <formula1>"ECONOMUS,CABESP,ALICE SAÚDE,VIVEST,PORTO SEGURO,CARE PLUS,OMINT,UNIMED SEGUROS,PETROBRAS,PARTICULAR"</formula1>
    </dataValidation>
    <dataValidation type="list" allowBlank="1" showErrorMessage="1" sqref="D2:D22">
      <formula1>"NOVO PACIENTE,READMISSÃO,TROCA,INTENSIFICAÇÃO,DESMAME,COBERTURA,REVEZAMENTO"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41.25"/>
    <col customWidth="1" min="3" max="3" width="18.75"/>
    <col customWidth="1" min="4" max="4" width="19.38"/>
    <col customWidth="1" min="6" max="6" width="21.88"/>
    <col customWidth="1" min="7" max="7" width="31.38"/>
    <col customWidth="1" min="8" max="8" width="15.0"/>
    <col customWidth="1" min="9" max="9" width="15.25"/>
    <col customWidth="1" min="10" max="39" width="4.38"/>
    <col customWidth="1" hidden="1" min="40" max="40" width="4.38"/>
    <col customWidth="1" min="41" max="41" width="7.0"/>
  </cols>
  <sheetData>
    <row r="1">
      <c r="A1" s="1"/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>
        <v>1.0</v>
      </c>
      <c r="K1" s="2">
        <v>2.0</v>
      </c>
      <c r="L1" s="2">
        <v>3.0</v>
      </c>
      <c r="M1" s="2">
        <v>4.0</v>
      </c>
      <c r="N1" s="2">
        <v>5.0</v>
      </c>
      <c r="O1" s="2">
        <v>6.0</v>
      </c>
      <c r="P1" s="2">
        <v>7.0</v>
      </c>
      <c r="Q1" s="2">
        <v>8.0</v>
      </c>
      <c r="R1" s="2">
        <v>9.0</v>
      </c>
      <c r="S1" s="2">
        <v>10.0</v>
      </c>
      <c r="T1" s="2">
        <v>11.0</v>
      </c>
      <c r="U1" s="2">
        <v>12.0</v>
      </c>
      <c r="V1" s="2">
        <v>13.0</v>
      </c>
      <c r="W1" s="2">
        <v>14.0</v>
      </c>
      <c r="X1" s="2">
        <v>15.0</v>
      </c>
      <c r="Y1" s="2">
        <v>16.0</v>
      </c>
      <c r="Z1" s="2">
        <v>17.0</v>
      </c>
      <c r="AA1" s="2">
        <v>18.0</v>
      </c>
      <c r="AB1" s="2">
        <v>19.0</v>
      </c>
      <c r="AC1" s="2">
        <v>20.0</v>
      </c>
      <c r="AD1" s="2">
        <v>21.0</v>
      </c>
      <c r="AE1" s="2">
        <v>22.0</v>
      </c>
      <c r="AF1" s="2">
        <v>23.0</v>
      </c>
      <c r="AG1" s="2">
        <v>24.0</v>
      </c>
      <c r="AH1" s="2">
        <v>25.0</v>
      </c>
      <c r="AI1" s="2">
        <v>26.0</v>
      </c>
      <c r="AJ1" s="2">
        <v>27.0</v>
      </c>
      <c r="AK1" s="2">
        <v>28.0</v>
      </c>
      <c r="AL1" s="2">
        <v>29.0</v>
      </c>
      <c r="AM1" s="2">
        <v>30.0</v>
      </c>
      <c r="AN1" s="2">
        <v>31.0</v>
      </c>
      <c r="AO1" s="2" t="s">
        <v>9</v>
      </c>
      <c r="AP1" s="5" t="s">
        <v>140</v>
      </c>
    </row>
    <row r="2">
      <c r="A2" s="87" t="s">
        <v>32</v>
      </c>
      <c r="B2" s="57" t="s">
        <v>12</v>
      </c>
      <c r="C2" s="88" t="s">
        <v>14</v>
      </c>
      <c r="D2" s="89"/>
      <c r="E2" s="90"/>
      <c r="F2" s="57" t="s">
        <v>17</v>
      </c>
      <c r="G2" s="91" t="s">
        <v>20</v>
      </c>
      <c r="H2" s="91" t="s">
        <v>23</v>
      </c>
      <c r="I2" s="92" t="s">
        <v>73</v>
      </c>
      <c r="J2" s="66">
        <v>1.0</v>
      </c>
      <c r="K2" s="66">
        <v>1.0</v>
      </c>
      <c r="L2" s="66">
        <v>1.0</v>
      </c>
      <c r="M2" s="66">
        <v>1.0</v>
      </c>
      <c r="N2" s="66">
        <v>1.0</v>
      </c>
      <c r="O2" s="66">
        <v>1.0</v>
      </c>
      <c r="P2" s="66">
        <v>1.0</v>
      </c>
      <c r="Q2" s="66">
        <v>1.0</v>
      </c>
      <c r="R2" s="66">
        <v>1.0</v>
      </c>
      <c r="S2" s="66">
        <v>1.0</v>
      </c>
      <c r="T2" s="66">
        <v>1.0</v>
      </c>
      <c r="U2" s="66">
        <v>1.0</v>
      </c>
      <c r="V2" s="66">
        <v>1.0</v>
      </c>
      <c r="W2" s="66">
        <v>1.0</v>
      </c>
      <c r="X2" s="66">
        <v>1.0</v>
      </c>
      <c r="Y2" s="66">
        <v>1.0</v>
      </c>
      <c r="Z2" s="66">
        <v>1.0</v>
      </c>
      <c r="AA2" s="66">
        <v>1.0</v>
      </c>
      <c r="AB2" s="66">
        <v>1.0</v>
      </c>
      <c r="AC2" s="66">
        <v>1.0</v>
      </c>
      <c r="AD2" s="66">
        <v>1.0</v>
      </c>
      <c r="AE2" s="66">
        <v>1.0</v>
      </c>
      <c r="AF2" s="66">
        <v>1.0</v>
      </c>
      <c r="AG2" s="66">
        <v>1.0</v>
      </c>
      <c r="AH2" s="66">
        <v>1.0</v>
      </c>
      <c r="AI2" s="66">
        <v>1.0</v>
      </c>
      <c r="AJ2" s="66">
        <v>1.0</v>
      </c>
      <c r="AK2" s="66">
        <v>1.0</v>
      </c>
      <c r="AL2" s="66">
        <v>1.0</v>
      </c>
      <c r="AM2" s="66">
        <v>1.0</v>
      </c>
      <c r="AN2" s="66"/>
      <c r="AO2" s="93">
        <f t="shared" ref="AO2:AO19" si="1">AN2+AM2+AL2+AK2+AJ2+AI2+AH2+AG2+AF2+AE2+AD2+AC2+AB2+AA2+Z2+Y2+X2+W2+V2+U2+T2+S2+R2+Q2+P2+O2+N2+M2+L2+K2+J2</f>
        <v>30</v>
      </c>
      <c r="AP2" s="94" t="s">
        <v>143</v>
      </c>
    </row>
    <row r="3">
      <c r="A3" s="95" t="s">
        <v>11</v>
      </c>
      <c r="B3" s="33" t="s">
        <v>144</v>
      </c>
      <c r="C3" s="88" t="s">
        <v>79</v>
      </c>
      <c r="D3" s="89" t="s">
        <v>16</v>
      </c>
      <c r="E3" s="90">
        <v>46195.0</v>
      </c>
      <c r="F3" s="96" t="s">
        <v>145</v>
      </c>
      <c r="G3" s="97" t="s">
        <v>146</v>
      </c>
      <c r="H3" s="97" t="s">
        <v>147</v>
      </c>
      <c r="I3" s="92" t="s">
        <v>25</v>
      </c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98"/>
      <c r="AA3" s="70"/>
      <c r="AB3" s="98"/>
      <c r="AC3" s="70"/>
      <c r="AD3" s="98"/>
      <c r="AE3" s="66">
        <v>1.0</v>
      </c>
      <c r="AF3" s="66"/>
      <c r="AG3" s="66">
        <v>1.0</v>
      </c>
      <c r="AH3" s="66"/>
      <c r="AI3" s="66">
        <v>1.0</v>
      </c>
      <c r="AJ3" s="66"/>
      <c r="AK3" s="99"/>
      <c r="AL3" s="66">
        <v>1.0</v>
      </c>
      <c r="AM3" s="66"/>
      <c r="AN3" s="99"/>
      <c r="AO3" s="93">
        <f t="shared" si="1"/>
        <v>4</v>
      </c>
      <c r="AP3" s="101" t="s">
        <v>148</v>
      </c>
    </row>
    <row r="4">
      <c r="A4" s="100" t="s">
        <v>40</v>
      </c>
      <c r="B4" s="33" t="s">
        <v>141</v>
      </c>
      <c r="C4" s="88" t="s">
        <v>56</v>
      </c>
      <c r="D4" s="89"/>
      <c r="E4" s="90"/>
      <c r="F4" s="96" t="s">
        <v>18</v>
      </c>
      <c r="G4" s="97" t="s">
        <v>142</v>
      </c>
      <c r="H4" s="97" t="s">
        <v>134</v>
      </c>
      <c r="I4" s="92" t="s">
        <v>25</v>
      </c>
      <c r="J4" s="66">
        <v>1.0</v>
      </c>
      <c r="K4" s="66"/>
      <c r="L4" s="66">
        <v>1.0</v>
      </c>
      <c r="M4" s="66"/>
      <c r="N4" s="66">
        <v>1.0</v>
      </c>
      <c r="O4" s="66"/>
      <c r="P4" s="66"/>
      <c r="Q4" s="66">
        <v>1.0</v>
      </c>
      <c r="R4" s="66"/>
      <c r="S4" s="66">
        <v>1.0</v>
      </c>
      <c r="T4" s="66"/>
      <c r="U4" s="66">
        <v>1.0</v>
      </c>
      <c r="V4" s="66"/>
      <c r="W4" s="66"/>
      <c r="X4" s="66">
        <v>1.0</v>
      </c>
      <c r="Y4" s="66"/>
      <c r="Z4" s="66">
        <v>1.0</v>
      </c>
      <c r="AA4" s="66"/>
      <c r="AB4" s="66">
        <v>1.0</v>
      </c>
      <c r="AC4" s="66"/>
      <c r="AD4" s="66">
        <v>1.0</v>
      </c>
      <c r="AE4" s="102"/>
      <c r="AF4" s="102">
        <v>1.0</v>
      </c>
      <c r="AG4" s="102"/>
      <c r="AH4" s="102"/>
      <c r="AI4" s="102"/>
      <c r="AJ4" s="102"/>
      <c r="AK4" s="102"/>
      <c r="AL4" s="102"/>
      <c r="AM4" s="104"/>
      <c r="AN4" s="99"/>
      <c r="AO4" s="93">
        <f t="shared" si="1"/>
        <v>11</v>
      </c>
      <c r="AP4" s="94" t="s">
        <v>149</v>
      </c>
    </row>
    <row r="5">
      <c r="A5" s="41" t="s">
        <v>150</v>
      </c>
      <c r="B5" s="33" t="s">
        <v>78</v>
      </c>
      <c r="C5" s="88" t="s">
        <v>79</v>
      </c>
      <c r="D5" s="89"/>
      <c r="E5" s="90"/>
      <c r="F5" s="96" t="s">
        <v>81</v>
      </c>
      <c r="G5" s="96" t="s">
        <v>82</v>
      </c>
      <c r="H5" s="96" t="s">
        <v>83</v>
      </c>
      <c r="I5" s="92" t="s">
        <v>25</v>
      </c>
      <c r="J5" s="66">
        <v>1.0</v>
      </c>
      <c r="K5" s="66"/>
      <c r="L5" s="66">
        <v>1.0</v>
      </c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33">
        <v>1.0</v>
      </c>
      <c r="AA5" s="33">
        <v>1.0</v>
      </c>
      <c r="AB5" s="33"/>
      <c r="AC5" s="33"/>
      <c r="AD5" s="33"/>
      <c r="AE5" s="33"/>
      <c r="AF5" s="33">
        <v>1.0</v>
      </c>
      <c r="AG5" s="33">
        <v>1.0</v>
      </c>
      <c r="AH5" s="33">
        <v>1.0</v>
      </c>
      <c r="AI5" s="33"/>
      <c r="AJ5" s="33"/>
      <c r="AK5" s="33"/>
      <c r="AL5" s="33"/>
      <c r="AM5" s="33"/>
      <c r="AN5" s="33"/>
      <c r="AO5" s="93">
        <f t="shared" si="1"/>
        <v>7</v>
      </c>
      <c r="AP5" s="94" t="s">
        <v>155</v>
      </c>
    </row>
    <row r="6">
      <c r="B6" s="68" t="s">
        <v>72</v>
      </c>
      <c r="C6" s="103" t="s">
        <v>56</v>
      </c>
      <c r="D6" s="89"/>
      <c r="E6" s="105"/>
      <c r="F6" s="57" t="s">
        <v>18</v>
      </c>
      <c r="G6" s="114" t="s">
        <v>45</v>
      </c>
      <c r="H6" s="114" t="s">
        <v>46</v>
      </c>
      <c r="I6" s="106" t="s">
        <v>73</v>
      </c>
      <c r="J6" s="66">
        <v>1.0</v>
      </c>
      <c r="K6" s="66">
        <v>1.0</v>
      </c>
      <c r="L6" s="66">
        <v>1.0</v>
      </c>
      <c r="M6" s="66">
        <v>1.0</v>
      </c>
      <c r="N6" s="66">
        <v>1.0</v>
      </c>
      <c r="O6" s="66">
        <v>1.0</v>
      </c>
      <c r="P6" s="66">
        <v>1.0</v>
      </c>
      <c r="Q6" s="66">
        <v>1.0</v>
      </c>
      <c r="R6" s="66">
        <v>1.0</v>
      </c>
      <c r="S6" s="57">
        <v>1.0</v>
      </c>
      <c r="T6" s="57">
        <v>1.0</v>
      </c>
      <c r="U6" s="57">
        <v>1.0</v>
      </c>
      <c r="V6" s="57">
        <v>1.0</v>
      </c>
      <c r="W6" s="57">
        <v>1.0</v>
      </c>
      <c r="X6" s="57">
        <v>1.0</v>
      </c>
      <c r="Y6" s="57">
        <v>1.0</v>
      </c>
      <c r="Z6" s="57">
        <v>1.0</v>
      </c>
      <c r="AA6" s="57">
        <v>1.0</v>
      </c>
      <c r="AB6" s="57">
        <v>1.0</v>
      </c>
      <c r="AC6" s="57">
        <v>1.0</v>
      </c>
      <c r="AD6" s="57">
        <v>1.0</v>
      </c>
      <c r="AE6" s="57">
        <v>1.0</v>
      </c>
      <c r="AF6" s="57">
        <v>1.0</v>
      </c>
      <c r="AG6" s="57">
        <v>1.0</v>
      </c>
      <c r="AH6" s="57">
        <v>1.0</v>
      </c>
      <c r="AI6" s="57">
        <v>1.0</v>
      </c>
      <c r="AJ6" s="57">
        <v>1.0</v>
      </c>
      <c r="AK6" s="57">
        <v>1.0</v>
      </c>
      <c r="AL6" s="69">
        <v>1.0</v>
      </c>
      <c r="AM6" s="69">
        <v>1.0</v>
      </c>
      <c r="AN6" s="69"/>
      <c r="AO6" s="93">
        <f t="shared" si="1"/>
        <v>30</v>
      </c>
      <c r="AP6" s="94" t="s">
        <v>143</v>
      </c>
    </row>
    <row r="7" ht="18.75" customHeight="1">
      <c r="A7" s="119"/>
      <c r="B7" s="57" t="s">
        <v>41</v>
      </c>
      <c r="C7" s="88" t="s">
        <v>15</v>
      </c>
      <c r="D7" s="89" t="s">
        <v>33</v>
      </c>
      <c r="E7" s="90">
        <v>46174.0</v>
      </c>
      <c r="F7" s="57" t="s">
        <v>18</v>
      </c>
      <c r="G7" s="57" t="s">
        <v>75</v>
      </c>
      <c r="H7" s="57" t="s">
        <v>76</v>
      </c>
      <c r="I7" s="92" t="s">
        <v>30</v>
      </c>
      <c r="J7" s="99"/>
      <c r="K7" s="66">
        <v>1.0</v>
      </c>
      <c r="L7" s="66"/>
      <c r="M7" s="66">
        <v>1.0</v>
      </c>
      <c r="N7" s="66"/>
      <c r="O7" s="99"/>
      <c r="P7" s="66"/>
      <c r="Q7" s="99"/>
      <c r="R7" s="66">
        <v>1.0</v>
      </c>
      <c r="S7" s="66"/>
      <c r="T7" s="66">
        <v>1.0</v>
      </c>
      <c r="U7" s="66"/>
      <c r="V7" s="99"/>
      <c r="W7" s="66"/>
      <c r="X7" s="99"/>
      <c r="Y7" s="66">
        <v>1.0</v>
      </c>
      <c r="Z7" s="66"/>
      <c r="AA7" s="66">
        <v>1.0</v>
      </c>
      <c r="AB7" s="66"/>
      <c r="AC7" s="66"/>
      <c r="AD7" s="66"/>
      <c r="AE7" s="66"/>
      <c r="AF7" s="66">
        <v>1.0</v>
      </c>
      <c r="AG7" s="66"/>
      <c r="AH7" s="66">
        <v>1.0</v>
      </c>
      <c r="AI7" s="66"/>
      <c r="AJ7" s="66"/>
      <c r="AK7" s="66"/>
      <c r="AL7" s="66"/>
      <c r="AM7" s="66">
        <v>1.0</v>
      </c>
      <c r="AN7" s="66"/>
      <c r="AO7" s="93">
        <f t="shared" si="1"/>
        <v>9</v>
      </c>
      <c r="AP7" s="120" t="s">
        <v>162</v>
      </c>
    </row>
    <row r="8">
      <c r="A8" s="119"/>
      <c r="B8" s="122" t="s">
        <v>89</v>
      </c>
      <c r="C8" s="103" t="s">
        <v>44</v>
      </c>
      <c r="D8" s="89"/>
      <c r="E8" s="105"/>
      <c r="F8" s="57" t="s">
        <v>18</v>
      </c>
      <c r="G8" s="125" t="s">
        <v>90</v>
      </c>
      <c r="H8" s="125" t="s">
        <v>91</v>
      </c>
      <c r="I8" s="106" t="s">
        <v>30</v>
      </c>
      <c r="J8" s="99"/>
      <c r="K8" s="66">
        <v>1.0</v>
      </c>
      <c r="L8" s="66"/>
      <c r="M8" s="66">
        <v>1.0</v>
      </c>
      <c r="N8" s="66"/>
      <c r="O8" s="99"/>
      <c r="P8" s="66"/>
      <c r="Q8" s="99"/>
      <c r="R8" s="66">
        <v>1.0</v>
      </c>
      <c r="S8" s="66"/>
      <c r="T8" s="66">
        <v>1.0</v>
      </c>
      <c r="U8" s="66"/>
      <c r="V8" s="99"/>
      <c r="W8" s="66"/>
      <c r="X8" s="99"/>
      <c r="Y8" s="66">
        <v>1.0</v>
      </c>
      <c r="Z8" s="99"/>
      <c r="AA8" s="66">
        <v>1.0</v>
      </c>
      <c r="AB8" s="66"/>
      <c r="AC8" s="99"/>
      <c r="AD8" s="66"/>
      <c r="AE8" s="99"/>
      <c r="AF8" s="66">
        <v>1.0</v>
      </c>
      <c r="AG8" s="66"/>
      <c r="AH8" s="66">
        <v>1.0</v>
      </c>
      <c r="AI8" s="66"/>
      <c r="AJ8" s="99"/>
      <c r="AK8" s="66"/>
      <c r="AL8" s="99"/>
      <c r="AM8" s="122">
        <v>1.0</v>
      </c>
      <c r="AN8" s="99"/>
      <c r="AO8" s="93">
        <f t="shared" si="1"/>
        <v>9</v>
      </c>
      <c r="AP8" s="120" t="s">
        <v>166</v>
      </c>
    </row>
    <row r="9">
      <c r="A9" s="55"/>
      <c r="B9" s="57" t="s">
        <v>92</v>
      </c>
      <c r="C9" s="88" t="s">
        <v>93</v>
      </c>
      <c r="D9" s="89"/>
      <c r="E9" s="90"/>
      <c r="F9" s="57" t="s">
        <v>18</v>
      </c>
      <c r="G9" s="131" t="s">
        <v>94</v>
      </c>
      <c r="H9" s="96" t="s">
        <v>95</v>
      </c>
      <c r="I9" s="92" t="s">
        <v>25</v>
      </c>
      <c r="J9" s="66">
        <v>1.0</v>
      </c>
      <c r="K9" s="99"/>
      <c r="L9" s="66">
        <v>1.0</v>
      </c>
      <c r="M9" s="66"/>
      <c r="N9" s="66">
        <v>1.0</v>
      </c>
      <c r="O9" s="66"/>
      <c r="P9" s="99"/>
      <c r="Q9" s="66">
        <v>1.0</v>
      </c>
      <c r="R9" s="66"/>
      <c r="S9" s="66">
        <v>1.0</v>
      </c>
      <c r="T9" s="66"/>
      <c r="U9" s="66">
        <v>1.0</v>
      </c>
      <c r="V9" s="66"/>
      <c r="W9" s="99"/>
      <c r="X9" s="66">
        <v>1.0</v>
      </c>
      <c r="Y9" s="66"/>
      <c r="Z9" s="66">
        <v>1.0</v>
      </c>
      <c r="AA9" s="66"/>
      <c r="AB9" s="66">
        <v>1.0</v>
      </c>
      <c r="AC9" s="66"/>
      <c r="AD9" s="99"/>
      <c r="AE9" s="66">
        <v>1.0</v>
      </c>
      <c r="AF9" s="66"/>
      <c r="AG9" s="66">
        <v>1.0</v>
      </c>
      <c r="AH9" s="66"/>
      <c r="AI9" s="66">
        <v>1.0</v>
      </c>
      <c r="AJ9" s="66"/>
      <c r="AK9" s="99"/>
      <c r="AL9" s="66">
        <v>1.0</v>
      </c>
      <c r="AM9" s="66"/>
      <c r="AN9" s="66"/>
      <c r="AO9" s="93">
        <f t="shared" si="1"/>
        <v>13</v>
      </c>
      <c r="AP9" s="94" t="s">
        <v>170</v>
      </c>
    </row>
    <row r="10">
      <c r="A10" s="55"/>
      <c r="B10" s="86" t="s">
        <v>100</v>
      </c>
      <c r="C10" s="88" t="s">
        <v>15</v>
      </c>
      <c r="D10" s="89"/>
      <c r="E10" s="90"/>
      <c r="F10" s="96" t="s">
        <v>101</v>
      </c>
      <c r="G10" s="96" t="s">
        <v>102</v>
      </c>
      <c r="H10" s="96" t="s">
        <v>103</v>
      </c>
      <c r="I10" s="92" t="s">
        <v>73</v>
      </c>
      <c r="J10" s="66">
        <v>1.0</v>
      </c>
      <c r="K10" s="66">
        <v>1.0</v>
      </c>
      <c r="L10" s="66">
        <v>1.0</v>
      </c>
      <c r="M10" s="66">
        <v>1.0</v>
      </c>
      <c r="N10" s="66">
        <v>1.0</v>
      </c>
      <c r="O10" s="66">
        <v>1.0</v>
      </c>
      <c r="P10" s="66">
        <v>1.0</v>
      </c>
      <c r="Q10" s="66">
        <v>1.0</v>
      </c>
      <c r="R10" s="66">
        <v>1.0</v>
      </c>
      <c r="S10" s="66">
        <v>1.0</v>
      </c>
      <c r="T10" s="66">
        <v>1.0</v>
      </c>
      <c r="U10" s="66">
        <v>1.0</v>
      </c>
      <c r="V10" s="66">
        <v>1.0</v>
      </c>
      <c r="W10" s="66">
        <v>1.0</v>
      </c>
      <c r="X10" s="66">
        <v>1.0</v>
      </c>
      <c r="Y10" s="66">
        <v>1.0</v>
      </c>
      <c r="Z10" s="66">
        <v>1.0</v>
      </c>
      <c r="AA10" s="66">
        <v>1.0</v>
      </c>
      <c r="AB10" s="66">
        <v>1.0</v>
      </c>
      <c r="AC10" s="66">
        <v>1.0</v>
      </c>
      <c r="AD10" s="66">
        <v>1.0</v>
      </c>
      <c r="AE10" s="66">
        <v>1.0</v>
      </c>
      <c r="AF10" s="66">
        <v>1.0</v>
      </c>
      <c r="AG10" s="66">
        <v>1.0</v>
      </c>
      <c r="AH10" s="66">
        <v>1.0</v>
      </c>
      <c r="AI10" s="66">
        <v>1.0</v>
      </c>
      <c r="AJ10" s="66">
        <v>1.0</v>
      </c>
      <c r="AK10" s="66">
        <v>1.0</v>
      </c>
      <c r="AL10" s="66">
        <v>1.0</v>
      </c>
      <c r="AM10" s="86">
        <v>1.0</v>
      </c>
      <c r="AN10" s="86"/>
      <c r="AO10" s="93">
        <f t="shared" si="1"/>
        <v>30</v>
      </c>
      <c r="AP10" s="101" t="s">
        <v>143</v>
      </c>
    </row>
    <row r="11">
      <c r="A11" s="55"/>
      <c r="B11" s="67" t="s">
        <v>172</v>
      </c>
      <c r="C11" s="88" t="s">
        <v>56</v>
      </c>
      <c r="D11" s="89" t="s">
        <v>77</v>
      </c>
      <c r="E11" s="105">
        <v>46176.0</v>
      </c>
      <c r="F11" s="96" t="s">
        <v>18</v>
      </c>
      <c r="G11" s="135" t="s">
        <v>36</v>
      </c>
      <c r="H11" s="135" t="s">
        <v>37</v>
      </c>
      <c r="I11" s="92" t="s">
        <v>24</v>
      </c>
      <c r="J11" s="66">
        <v>1.0</v>
      </c>
      <c r="K11" s="66">
        <v>1.0</v>
      </c>
      <c r="L11" s="66">
        <v>1.0</v>
      </c>
      <c r="M11" s="66">
        <v>1.0</v>
      </c>
      <c r="N11" s="66">
        <v>1.0</v>
      </c>
      <c r="O11" s="66"/>
      <c r="P11" s="66"/>
      <c r="Q11" s="66">
        <v>1.0</v>
      </c>
      <c r="R11" s="66">
        <v>1.0</v>
      </c>
      <c r="S11" s="66">
        <v>1.0</v>
      </c>
      <c r="T11" s="66">
        <v>1.0</v>
      </c>
      <c r="U11" s="66">
        <v>1.0</v>
      </c>
      <c r="V11" s="66"/>
      <c r="W11" s="66"/>
      <c r="X11" s="66">
        <v>1.0</v>
      </c>
      <c r="Y11" s="66">
        <v>1.0</v>
      </c>
      <c r="Z11" s="57">
        <v>1.0</v>
      </c>
      <c r="AA11" s="57"/>
      <c r="AB11" s="57">
        <v>1.0</v>
      </c>
      <c r="AC11" s="57"/>
      <c r="AD11" s="57"/>
      <c r="AE11" s="57">
        <v>1.0</v>
      </c>
      <c r="AF11" s="57">
        <v>1.0</v>
      </c>
      <c r="AG11" s="67"/>
      <c r="AH11" s="67"/>
      <c r="AI11" s="67"/>
      <c r="AJ11" s="67"/>
      <c r="AK11" s="67"/>
      <c r="AL11" s="67"/>
      <c r="AM11" s="67"/>
      <c r="AN11" s="57"/>
      <c r="AO11" s="93">
        <f t="shared" si="1"/>
        <v>16</v>
      </c>
      <c r="AP11" s="57" t="s">
        <v>149</v>
      </c>
    </row>
    <row r="12">
      <c r="A12" s="55"/>
      <c r="B12" s="67" t="s">
        <v>172</v>
      </c>
      <c r="C12" s="88" t="s">
        <v>56</v>
      </c>
      <c r="D12" s="89" t="s">
        <v>47</v>
      </c>
      <c r="E12" s="105">
        <v>46196.0</v>
      </c>
      <c r="F12" s="96" t="s">
        <v>18</v>
      </c>
      <c r="G12" s="126" t="s">
        <v>176</v>
      </c>
      <c r="H12" s="126" t="s">
        <v>177</v>
      </c>
      <c r="I12" s="92" t="s">
        <v>24</v>
      </c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115"/>
      <c r="Y12" s="115"/>
      <c r="Z12" s="115"/>
      <c r="AA12" s="115"/>
      <c r="AB12" s="115"/>
      <c r="AC12" s="115"/>
      <c r="AD12" s="115"/>
      <c r="AE12" s="115"/>
      <c r="AF12" s="115"/>
      <c r="AG12" s="67"/>
      <c r="AH12" s="67"/>
      <c r="AI12" s="67"/>
      <c r="AJ12" s="67"/>
      <c r="AK12" s="67"/>
      <c r="AL12" s="67"/>
      <c r="AM12" s="67"/>
      <c r="AN12" s="69"/>
      <c r="AO12" s="93">
        <f t="shared" si="1"/>
        <v>0</v>
      </c>
      <c r="AP12" s="120" t="s">
        <v>43</v>
      </c>
    </row>
    <row r="13">
      <c r="A13" s="55"/>
      <c r="B13" s="96" t="s">
        <v>179</v>
      </c>
      <c r="C13" s="88" t="s">
        <v>56</v>
      </c>
      <c r="D13" s="89"/>
      <c r="E13" s="105"/>
      <c r="F13" s="96" t="s">
        <v>180</v>
      </c>
      <c r="G13" s="126" t="s">
        <v>181</v>
      </c>
      <c r="H13" s="126" t="s">
        <v>46</v>
      </c>
      <c r="I13" s="92" t="s">
        <v>25</v>
      </c>
      <c r="J13" s="66">
        <v>1.0</v>
      </c>
      <c r="K13" s="66"/>
      <c r="L13" s="66">
        <v>1.0</v>
      </c>
      <c r="M13" s="66"/>
      <c r="N13" s="66">
        <v>1.0</v>
      </c>
      <c r="O13" s="66"/>
      <c r="P13" s="66"/>
      <c r="Q13" s="66">
        <v>1.0</v>
      </c>
      <c r="R13" s="66"/>
      <c r="S13" s="66">
        <v>1.0</v>
      </c>
      <c r="T13" s="66"/>
      <c r="U13" s="66">
        <v>1.0</v>
      </c>
      <c r="V13" s="66"/>
      <c r="W13" s="66"/>
      <c r="X13" s="57">
        <v>1.0</v>
      </c>
      <c r="Y13" s="57"/>
      <c r="Z13" s="57">
        <v>1.0</v>
      </c>
      <c r="AA13" s="57"/>
      <c r="AB13" s="57">
        <v>1.0</v>
      </c>
      <c r="AC13" s="57"/>
      <c r="AD13" s="57"/>
      <c r="AE13" s="57">
        <v>1.0</v>
      </c>
      <c r="AF13" s="57"/>
      <c r="AG13" s="57">
        <v>1.0</v>
      </c>
      <c r="AH13" s="57"/>
      <c r="AI13" s="57">
        <v>1.0</v>
      </c>
      <c r="AJ13" s="57"/>
      <c r="AK13" s="57"/>
      <c r="AL13" s="69">
        <v>1.0</v>
      </c>
      <c r="AM13" s="69"/>
      <c r="AN13" s="69"/>
      <c r="AO13" s="93">
        <f t="shared" si="1"/>
        <v>13</v>
      </c>
      <c r="AP13" s="143"/>
    </row>
    <row r="14">
      <c r="A14" s="55"/>
      <c r="B14" s="96" t="s">
        <v>111</v>
      </c>
      <c r="C14" s="88" t="s">
        <v>56</v>
      </c>
      <c r="D14" s="89"/>
      <c r="E14" s="105"/>
      <c r="F14" s="96" t="s">
        <v>112</v>
      </c>
      <c r="G14" s="114" t="s">
        <v>113</v>
      </c>
      <c r="H14" s="114" t="s">
        <v>115</v>
      </c>
      <c r="I14" s="92" t="s">
        <v>25</v>
      </c>
      <c r="J14" s="66">
        <v>1.0</v>
      </c>
      <c r="K14" s="66"/>
      <c r="L14" s="66">
        <v>1.0</v>
      </c>
      <c r="M14" s="66"/>
      <c r="N14" s="66">
        <v>1.0</v>
      </c>
      <c r="O14" s="66"/>
      <c r="P14" s="66"/>
      <c r="Q14" s="66">
        <v>1.0</v>
      </c>
      <c r="R14" s="66"/>
      <c r="S14" s="66">
        <v>1.0</v>
      </c>
      <c r="T14" s="66"/>
      <c r="U14" s="66">
        <v>1.0</v>
      </c>
      <c r="V14" s="66"/>
      <c r="W14" s="99"/>
      <c r="X14" s="57">
        <v>1.0</v>
      </c>
      <c r="Y14" s="57"/>
      <c r="Z14" s="57">
        <v>1.0</v>
      </c>
      <c r="AA14" s="57"/>
      <c r="AB14" s="57">
        <v>1.0</v>
      </c>
      <c r="AC14" s="57"/>
      <c r="AD14" s="57"/>
      <c r="AE14" s="57">
        <v>1.0</v>
      </c>
      <c r="AF14" s="57"/>
      <c r="AG14" s="57">
        <v>1.0</v>
      </c>
      <c r="AH14" s="57"/>
      <c r="AI14" s="57">
        <v>1.0</v>
      </c>
      <c r="AJ14" s="57"/>
      <c r="AK14" s="57"/>
      <c r="AL14" s="69">
        <v>1.0</v>
      </c>
      <c r="AM14" s="69"/>
      <c r="AN14" s="69"/>
      <c r="AO14" s="93">
        <f t="shared" si="1"/>
        <v>13</v>
      </c>
      <c r="AP14" s="120" t="s">
        <v>170</v>
      </c>
    </row>
    <row r="15">
      <c r="A15" s="55"/>
      <c r="B15" s="57" t="s">
        <v>117</v>
      </c>
      <c r="C15" s="88" t="s">
        <v>56</v>
      </c>
      <c r="D15" s="89"/>
      <c r="E15" s="90"/>
      <c r="F15" s="96" t="s">
        <v>18</v>
      </c>
      <c r="G15" s="150" t="s">
        <v>119</v>
      </c>
      <c r="H15" s="150" t="s">
        <v>120</v>
      </c>
      <c r="I15" s="92" t="s">
        <v>25</v>
      </c>
      <c r="J15" s="66">
        <v>1.0</v>
      </c>
      <c r="K15" s="99"/>
      <c r="L15" s="66">
        <v>1.0</v>
      </c>
      <c r="M15" s="66"/>
      <c r="N15" s="66">
        <v>1.0</v>
      </c>
      <c r="O15" s="66"/>
      <c r="P15" s="66"/>
      <c r="Q15" s="66">
        <v>1.0</v>
      </c>
      <c r="R15" s="66"/>
      <c r="S15" s="66">
        <v>1.0</v>
      </c>
      <c r="T15" s="66"/>
      <c r="U15" s="66">
        <v>1.0</v>
      </c>
      <c r="V15" s="66"/>
      <c r="W15" s="66"/>
      <c r="X15" s="66">
        <v>1.0</v>
      </c>
      <c r="Y15" s="99"/>
      <c r="Z15" s="66">
        <v>1.0</v>
      </c>
      <c r="AA15" s="66"/>
      <c r="AB15" s="66">
        <v>1.0</v>
      </c>
      <c r="AC15" s="66"/>
      <c r="AD15" s="99"/>
      <c r="AE15" s="66">
        <v>1.0</v>
      </c>
      <c r="AF15" s="66"/>
      <c r="AG15" s="66">
        <v>1.0</v>
      </c>
      <c r="AH15" s="66"/>
      <c r="AI15" s="66">
        <v>1.0</v>
      </c>
      <c r="AJ15" s="66"/>
      <c r="AK15" s="99"/>
      <c r="AL15" s="66">
        <v>1.0</v>
      </c>
      <c r="AM15" s="66"/>
      <c r="AN15" s="99"/>
      <c r="AO15" s="93">
        <f t="shared" si="1"/>
        <v>13</v>
      </c>
      <c r="AP15" s="151">
        <v>0.0</v>
      </c>
    </row>
    <row r="16" ht="15.75" customHeight="1">
      <c r="A16" s="55"/>
      <c r="B16" s="96" t="s">
        <v>194</v>
      </c>
      <c r="C16" s="88" t="s">
        <v>56</v>
      </c>
      <c r="D16" s="89"/>
      <c r="E16" s="90"/>
      <c r="F16" s="96" t="s">
        <v>18</v>
      </c>
      <c r="G16" s="112" t="s">
        <v>142</v>
      </c>
      <c r="H16" s="152" t="s">
        <v>134</v>
      </c>
      <c r="I16" s="92" t="s">
        <v>25</v>
      </c>
      <c r="J16" s="66">
        <v>1.0</v>
      </c>
      <c r="K16" s="66"/>
      <c r="L16" s="66">
        <v>1.0</v>
      </c>
      <c r="M16" s="66"/>
      <c r="N16" s="66">
        <v>1.0</v>
      </c>
      <c r="O16" s="66"/>
      <c r="P16" s="66"/>
      <c r="Q16" s="66">
        <v>1.0</v>
      </c>
      <c r="R16" s="66"/>
      <c r="S16" s="66">
        <v>1.0</v>
      </c>
      <c r="T16" s="66"/>
      <c r="U16" s="66">
        <v>1.0</v>
      </c>
      <c r="V16" s="66"/>
      <c r="W16" s="66"/>
      <c r="X16" s="66">
        <v>1.0</v>
      </c>
      <c r="Y16" s="66"/>
      <c r="Z16" s="66"/>
      <c r="AA16" s="66"/>
      <c r="AB16" s="66"/>
      <c r="AC16" s="66"/>
      <c r="AD16" s="99"/>
      <c r="AE16" s="66"/>
      <c r="AF16" s="66"/>
      <c r="AG16" s="66"/>
      <c r="AH16" s="66"/>
      <c r="AI16" s="66"/>
      <c r="AJ16" s="66"/>
      <c r="AK16" s="99"/>
      <c r="AL16" s="66"/>
      <c r="AM16" s="66"/>
      <c r="AN16" s="66"/>
      <c r="AO16" s="93">
        <f t="shared" si="1"/>
        <v>7</v>
      </c>
      <c r="AP16" s="151" t="s">
        <v>196</v>
      </c>
    </row>
    <row r="17">
      <c r="A17" s="55"/>
      <c r="B17" s="57" t="s">
        <v>197</v>
      </c>
      <c r="C17" s="88"/>
      <c r="D17" s="89" t="s">
        <v>16</v>
      </c>
      <c r="E17" s="90">
        <v>46184.0</v>
      </c>
      <c r="F17" s="96" t="s">
        <v>18</v>
      </c>
      <c r="G17" s="150" t="s">
        <v>198</v>
      </c>
      <c r="H17" s="150" t="s">
        <v>199</v>
      </c>
      <c r="I17" s="92" t="s">
        <v>24</v>
      </c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66"/>
      <c r="V17" s="66"/>
      <c r="W17" s="66"/>
      <c r="X17" s="66">
        <v>1.0</v>
      </c>
      <c r="Y17" s="66">
        <v>1.0</v>
      </c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66"/>
      <c r="AO17" s="93">
        <f t="shared" si="1"/>
        <v>2</v>
      </c>
      <c r="AP17" s="120" t="s">
        <v>203</v>
      </c>
    </row>
    <row r="18">
      <c r="A18" s="55"/>
      <c r="B18" s="57" t="s">
        <v>123</v>
      </c>
      <c r="C18" s="88" t="s">
        <v>44</v>
      </c>
      <c r="D18" s="89" t="s">
        <v>33</v>
      </c>
      <c r="E18" s="90">
        <v>46174.0</v>
      </c>
      <c r="F18" s="96" t="s">
        <v>124</v>
      </c>
      <c r="G18" s="96" t="s">
        <v>125</v>
      </c>
      <c r="H18" s="96" t="s">
        <v>126</v>
      </c>
      <c r="I18" s="92" t="s">
        <v>25</v>
      </c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53"/>
      <c r="AB18" s="57">
        <v>1.0</v>
      </c>
      <c r="AC18" s="57"/>
      <c r="AD18" s="57"/>
      <c r="AE18" s="57">
        <v>1.0</v>
      </c>
      <c r="AF18" s="57"/>
      <c r="AG18" s="57">
        <v>1.0</v>
      </c>
      <c r="AH18" s="57"/>
      <c r="AI18" s="57">
        <v>1.0</v>
      </c>
      <c r="AJ18" s="57"/>
      <c r="AK18" s="57"/>
      <c r="AL18" s="57">
        <v>1.0</v>
      </c>
      <c r="AM18" s="57"/>
      <c r="AN18" s="109"/>
      <c r="AO18" s="93">
        <f t="shared" si="1"/>
        <v>5</v>
      </c>
      <c r="AP18" s="151" t="s">
        <v>155</v>
      </c>
    </row>
    <row r="19">
      <c r="A19" s="29"/>
      <c r="B19" s="24" t="s">
        <v>207</v>
      </c>
      <c r="C19" s="88" t="s">
        <v>67</v>
      </c>
      <c r="D19" s="89" t="s">
        <v>16</v>
      </c>
      <c r="E19" s="23">
        <v>46189.0</v>
      </c>
      <c r="F19" s="24" t="s">
        <v>18</v>
      </c>
      <c r="G19" s="35" t="s">
        <v>208</v>
      </c>
      <c r="H19" s="35" t="s">
        <v>209</v>
      </c>
      <c r="I19" s="92" t="s">
        <v>24</v>
      </c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24">
        <v>1.0</v>
      </c>
      <c r="Z19" s="24">
        <v>1.0</v>
      </c>
      <c r="AA19" s="29"/>
      <c r="AB19" s="29"/>
      <c r="AC19" s="29"/>
      <c r="AD19" s="29"/>
      <c r="AE19" s="29"/>
      <c r="AF19" s="29"/>
      <c r="AG19" s="149"/>
      <c r="AH19" s="149"/>
      <c r="AI19" s="149"/>
      <c r="AJ19" s="149"/>
      <c r="AK19" s="149"/>
      <c r="AL19" s="149"/>
      <c r="AM19" s="149"/>
      <c r="AN19" s="29"/>
      <c r="AO19" s="93">
        <f t="shared" si="1"/>
        <v>2</v>
      </c>
      <c r="AP19" s="24" t="s">
        <v>191</v>
      </c>
    </row>
  </sheetData>
  <dataValidations>
    <dataValidation type="list" allowBlank="1" showErrorMessage="1" sqref="I2:I19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19">
      <formula1>"ECONOMUS,CABESP,ALICE SAÚDE,VIVEST,PORTO SEGURO,CARE PLUS,OMINT,UNIMED SEGUROS,PETROBRAS,PARTICULAR"</formula1>
    </dataValidation>
    <dataValidation type="list" allowBlank="1" showErrorMessage="1" sqref="D2:D19">
      <formula1>"NOVO PACIENTE,READMISSÃO,TROCA,INTENSIFICAÇÃO,DESMAME,COBERTURA,REVEZAMENTO"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41.25"/>
    <col customWidth="1" min="3" max="3" width="18.75"/>
    <col customWidth="1" min="4" max="4" width="19.38"/>
    <col customWidth="1" min="6" max="6" width="21.88"/>
    <col customWidth="1" min="7" max="7" width="34.25"/>
    <col customWidth="1" min="8" max="8" width="15.0"/>
    <col customWidth="1" min="9" max="9" width="15.25"/>
    <col customWidth="1" min="10" max="10" width="8.75"/>
    <col customWidth="1" min="11" max="41" width="4.38"/>
    <col customWidth="1" min="42" max="42" width="7.0"/>
    <col customWidth="1" min="43" max="43" width="7.5"/>
    <col customWidth="1" min="44" max="44" width="7.63"/>
  </cols>
  <sheetData>
    <row r="1">
      <c r="A1" s="11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13" t="s">
        <v>159</v>
      </c>
      <c r="K1" s="3">
        <v>1.0</v>
      </c>
      <c r="L1" s="3">
        <v>2.0</v>
      </c>
      <c r="M1" s="3">
        <v>3.0</v>
      </c>
      <c r="N1" s="3">
        <v>4.0</v>
      </c>
      <c r="O1" s="3">
        <v>5.0</v>
      </c>
      <c r="P1" s="3">
        <v>6.0</v>
      </c>
      <c r="Q1" s="3">
        <v>7.0</v>
      </c>
      <c r="R1" s="3">
        <v>8.0</v>
      </c>
      <c r="S1" s="3">
        <v>9.0</v>
      </c>
      <c r="T1" s="3">
        <v>10.0</v>
      </c>
      <c r="U1" s="3">
        <v>11.0</v>
      </c>
      <c r="V1" s="3">
        <v>12.0</v>
      </c>
      <c r="W1" s="3">
        <v>13.0</v>
      </c>
      <c r="X1" s="3">
        <v>14.0</v>
      </c>
      <c r="Y1" s="3">
        <v>15.0</v>
      </c>
      <c r="Z1" s="3">
        <v>16.0</v>
      </c>
      <c r="AA1" s="3">
        <v>17.0</v>
      </c>
      <c r="AB1" s="3">
        <v>18.0</v>
      </c>
      <c r="AC1" s="3">
        <v>19.0</v>
      </c>
      <c r="AD1" s="3">
        <v>20.0</v>
      </c>
      <c r="AE1" s="3">
        <v>21.0</v>
      </c>
      <c r="AF1" s="3">
        <v>22.0</v>
      </c>
      <c r="AG1" s="3">
        <v>23.0</v>
      </c>
      <c r="AH1" s="3">
        <v>24.0</v>
      </c>
      <c r="AI1" s="3">
        <v>25.0</v>
      </c>
      <c r="AJ1" s="3">
        <v>26.0</v>
      </c>
      <c r="AK1" s="3">
        <v>27.0</v>
      </c>
      <c r="AL1" s="3">
        <v>28.0</v>
      </c>
      <c r="AM1" s="3">
        <v>29.0</v>
      </c>
      <c r="AN1" s="3">
        <v>30.0</v>
      </c>
      <c r="AO1" s="3">
        <v>31.0</v>
      </c>
      <c r="AP1" s="3" t="s">
        <v>9</v>
      </c>
      <c r="AQ1" s="111" t="s">
        <v>140</v>
      </c>
      <c r="AR1" s="111"/>
    </row>
    <row r="2" ht="16.5" customHeight="1">
      <c r="A2" s="118" t="s">
        <v>52</v>
      </c>
      <c r="B2" s="57" t="s">
        <v>12</v>
      </c>
      <c r="C2" s="88" t="s">
        <v>14</v>
      </c>
      <c r="D2" s="89"/>
      <c r="E2" s="96" t="s">
        <v>160</v>
      </c>
      <c r="F2" s="57" t="s">
        <v>17</v>
      </c>
      <c r="G2" s="91" t="s">
        <v>20</v>
      </c>
      <c r="H2" s="91" t="s">
        <v>23</v>
      </c>
      <c r="I2" s="92" t="s">
        <v>73</v>
      </c>
      <c r="J2" s="92" t="s">
        <v>161</v>
      </c>
      <c r="K2" s="7">
        <v>1.0</v>
      </c>
      <c r="L2" s="7">
        <v>1.0</v>
      </c>
      <c r="M2" s="7">
        <v>1.0</v>
      </c>
      <c r="N2" s="7">
        <v>1.0</v>
      </c>
      <c r="O2" s="7">
        <v>1.0</v>
      </c>
      <c r="P2" s="7">
        <v>1.0</v>
      </c>
      <c r="Q2" s="7">
        <v>1.0</v>
      </c>
      <c r="R2" s="7">
        <v>1.0</v>
      </c>
      <c r="S2" s="7">
        <v>1.0</v>
      </c>
      <c r="T2" s="7">
        <v>1.0</v>
      </c>
      <c r="U2" s="7">
        <v>1.0</v>
      </c>
      <c r="V2" s="7">
        <v>1.0</v>
      </c>
      <c r="W2" s="7">
        <v>1.0</v>
      </c>
      <c r="X2" s="7">
        <v>1.0</v>
      </c>
      <c r="Y2" s="7">
        <v>1.0</v>
      </c>
      <c r="Z2" s="7">
        <v>1.0</v>
      </c>
      <c r="AA2" s="7">
        <v>1.0</v>
      </c>
      <c r="AB2" s="7">
        <v>1.0</v>
      </c>
      <c r="AC2" s="7">
        <v>1.0</v>
      </c>
      <c r="AD2" s="7">
        <v>1.0</v>
      </c>
      <c r="AE2" s="7">
        <v>1.0</v>
      </c>
      <c r="AF2" s="7">
        <v>1.0</v>
      </c>
      <c r="AG2" s="7">
        <v>1.0</v>
      </c>
      <c r="AH2" s="7">
        <v>1.0</v>
      </c>
      <c r="AI2" s="7">
        <v>1.0</v>
      </c>
      <c r="AJ2" s="7">
        <v>1.0</v>
      </c>
      <c r="AK2" s="7">
        <v>1.0</v>
      </c>
      <c r="AL2" s="7">
        <v>1.0</v>
      </c>
      <c r="AM2" s="7">
        <v>1.0</v>
      </c>
      <c r="AN2" s="7">
        <v>1.0</v>
      </c>
      <c r="AO2" s="123">
        <v>1.0</v>
      </c>
      <c r="AP2" s="31">
        <f t="shared" ref="AP2:AP19" si="1">SUM(K2:AO2)</f>
        <v>31</v>
      </c>
      <c r="AQ2" s="127" t="s">
        <v>165</v>
      </c>
      <c r="AR2" s="94"/>
    </row>
    <row r="3" ht="16.5" customHeight="1">
      <c r="A3" s="128" t="s">
        <v>11</v>
      </c>
      <c r="B3" s="33" t="s">
        <v>144</v>
      </c>
      <c r="C3" s="88" t="s">
        <v>79</v>
      </c>
      <c r="D3" s="89"/>
      <c r="E3" s="96" t="s">
        <v>160</v>
      </c>
      <c r="F3" s="96" t="s">
        <v>145</v>
      </c>
      <c r="G3" s="129" t="s">
        <v>146</v>
      </c>
      <c r="H3" s="129" t="s">
        <v>147</v>
      </c>
      <c r="I3" s="92" t="s">
        <v>25</v>
      </c>
      <c r="J3" s="92"/>
      <c r="K3" s="7">
        <v>1.0</v>
      </c>
      <c r="L3" s="130"/>
      <c r="M3" s="7">
        <v>1.0</v>
      </c>
      <c r="N3" s="130"/>
      <c r="O3" s="130"/>
      <c r="P3" s="7">
        <v>1.0</v>
      </c>
      <c r="Q3" s="130"/>
      <c r="R3" s="7">
        <v>1.0</v>
      </c>
      <c r="S3" s="130"/>
      <c r="T3" s="7">
        <v>1.0</v>
      </c>
      <c r="U3" s="130"/>
      <c r="V3" s="130"/>
      <c r="W3" s="7">
        <v>1.0</v>
      </c>
      <c r="X3" s="130"/>
      <c r="Y3" s="7">
        <v>1.0</v>
      </c>
      <c r="Z3" s="130"/>
      <c r="AA3" s="7">
        <v>1.0</v>
      </c>
      <c r="AB3" s="130"/>
      <c r="AC3" s="130"/>
      <c r="AD3" s="7">
        <v>1.0</v>
      </c>
      <c r="AE3" s="130"/>
      <c r="AF3" s="7">
        <v>1.0</v>
      </c>
      <c r="AG3" s="130"/>
      <c r="AH3" s="7">
        <v>1.0</v>
      </c>
      <c r="AI3" s="130"/>
      <c r="AJ3" s="130"/>
      <c r="AK3" s="7">
        <v>1.0</v>
      </c>
      <c r="AL3" s="130"/>
      <c r="AM3" s="7">
        <v>1.0</v>
      </c>
      <c r="AN3" s="130"/>
      <c r="AO3" s="123">
        <v>1.0</v>
      </c>
      <c r="AP3" s="31">
        <f t="shared" si="1"/>
        <v>14</v>
      </c>
      <c r="AQ3" s="127" t="s">
        <v>168</v>
      </c>
      <c r="AR3" s="94"/>
    </row>
    <row r="4" ht="16.5" customHeight="1">
      <c r="A4" s="132" t="s">
        <v>40</v>
      </c>
      <c r="B4" s="33" t="s">
        <v>141</v>
      </c>
      <c r="C4" s="88" t="s">
        <v>56</v>
      </c>
      <c r="D4" s="89"/>
      <c r="E4" s="96" t="s">
        <v>169</v>
      </c>
      <c r="F4" s="96" t="s">
        <v>18</v>
      </c>
      <c r="G4" s="133" t="s">
        <v>142</v>
      </c>
      <c r="H4" s="129" t="s">
        <v>134</v>
      </c>
      <c r="I4" s="92" t="s">
        <v>25</v>
      </c>
      <c r="J4" s="92"/>
      <c r="K4" s="7">
        <v>1.0</v>
      </c>
      <c r="L4" s="130"/>
      <c r="M4" s="7">
        <v>1.0</v>
      </c>
      <c r="N4" s="130"/>
      <c r="O4" s="130"/>
      <c r="P4" s="7">
        <v>1.0</v>
      </c>
      <c r="Q4" s="130"/>
      <c r="R4" s="7">
        <v>1.0</v>
      </c>
      <c r="S4" s="130"/>
      <c r="T4" s="7">
        <v>1.0</v>
      </c>
      <c r="U4" s="130"/>
      <c r="V4" s="130"/>
      <c r="W4" s="7">
        <v>1.0</v>
      </c>
      <c r="X4" s="130"/>
      <c r="Y4" s="7">
        <v>1.0</v>
      </c>
      <c r="Z4" s="130"/>
      <c r="AA4" s="7">
        <v>1.0</v>
      </c>
      <c r="AB4" s="130"/>
      <c r="AC4" s="130"/>
      <c r="AD4" s="7">
        <v>1.0</v>
      </c>
      <c r="AE4" s="130"/>
      <c r="AF4" s="7">
        <v>1.0</v>
      </c>
      <c r="AG4" s="130"/>
      <c r="AH4" s="7">
        <v>1.0</v>
      </c>
      <c r="AI4" s="130"/>
      <c r="AJ4" s="130"/>
      <c r="AK4" s="7">
        <v>1.0</v>
      </c>
      <c r="AL4" s="130"/>
      <c r="AM4" s="7">
        <v>1.0</v>
      </c>
      <c r="AN4" s="130"/>
      <c r="AO4" s="123">
        <v>1.0</v>
      </c>
      <c r="AP4" s="31">
        <f t="shared" si="1"/>
        <v>14</v>
      </c>
      <c r="AQ4" s="127" t="s">
        <v>171</v>
      </c>
      <c r="AR4" s="94"/>
    </row>
    <row r="5" ht="16.5" customHeight="1">
      <c r="A5" s="134" t="s">
        <v>32</v>
      </c>
      <c r="B5" s="57" t="s">
        <v>78</v>
      </c>
      <c r="C5" s="88" t="s">
        <v>79</v>
      </c>
      <c r="D5" s="89"/>
      <c r="E5" s="96" t="s">
        <v>160</v>
      </c>
      <c r="F5" s="96" t="s">
        <v>81</v>
      </c>
      <c r="G5" s="96" t="s">
        <v>82</v>
      </c>
      <c r="H5" s="96" t="s">
        <v>83</v>
      </c>
      <c r="I5" s="92" t="s">
        <v>25</v>
      </c>
      <c r="J5" s="92"/>
      <c r="K5" s="7">
        <v>1.0</v>
      </c>
      <c r="L5" s="130"/>
      <c r="M5" s="7">
        <v>1.0</v>
      </c>
      <c r="N5" s="130"/>
      <c r="O5" s="130"/>
      <c r="P5" s="7">
        <v>1.0</v>
      </c>
      <c r="Q5" s="130"/>
      <c r="R5" s="7">
        <v>1.0</v>
      </c>
      <c r="S5" s="130"/>
      <c r="T5" s="7">
        <v>1.0</v>
      </c>
      <c r="U5" s="130"/>
      <c r="V5" s="130"/>
      <c r="W5" s="7">
        <v>1.0</v>
      </c>
      <c r="X5" s="130"/>
      <c r="Y5" s="7">
        <v>1.0</v>
      </c>
      <c r="Z5" s="130"/>
      <c r="AA5" s="7">
        <v>1.0</v>
      </c>
      <c r="AB5" s="130"/>
      <c r="AC5" s="130"/>
      <c r="AD5" s="7">
        <v>1.0</v>
      </c>
      <c r="AE5" s="130"/>
      <c r="AF5" s="7">
        <v>1.0</v>
      </c>
      <c r="AG5" s="130"/>
      <c r="AH5" s="7">
        <v>1.0</v>
      </c>
      <c r="AI5" s="130"/>
      <c r="AJ5" s="130"/>
      <c r="AK5" s="7">
        <v>1.0</v>
      </c>
      <c r="AL5" s="130"/>
      <c r="AM5" s="7">
        <v>1.0</v>
      </c>
      <c r="AN5" s="130"/>
      <c r="AO5" s="33">
        <v>1.0</v>
      </c>
      <c r="AP5" s="31">
        <f t="shared" si="1"/>
        <v>14</v>
      </c>
      <c r="AQ5" s="127" t="s">
        <v>173</v>
      </c>
      <c r="AR5" s="94"/>
    </row>
    <row r="6" ht="16.5" customHeight="1">
      <c r="A6" s="137"/>
      <c r="B6" s="121" t="s">
        <v>174</v>
      </c>
      <c r="C6" s="103" t="s">
        <v>56</v>
      </c>
      <c r="D6" s="89" t="s">
        <v>16</v>
      </c>
      <c r="E6" s="90">
        <v>46226.0</v>
      </c>
      <c r="F6" s="57" t="s">
        <v>18</v>
      </c>
      <c r="G6" s="34" t="s">
        <v>109</v>
      </c>
      <c r="H6" s="34" t="s">
        <v>175</v>
      </c>
      <c r="I6" s="106" t="s">
        <v>25</v>
      </c>
      <c r="J6" s="106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121"/>
      <c r="AL6" s="121"/>
      <c r="AM6" s="121"/>
      <c r="AN6" s="121"/>
      <c r="AO6" s="121"/>
      <c r="AP6" s="31">
        <f t="shared" si="1"/>
        <v>0</v>
      </c>
      <c r="AQ6" s="140" t="s">
        <v>43</v>
      </c>
      <c r="AR6" s="94"/>
    </row>
    <row r="7" ht="16.5" customHeight="1">
      <c r="A7" s="137"/>
      <c r="B7" s="68" t="s">
        <v>72</v>
      </c>
      <c r="C7" s="103" t="s">
        <v>56</v>
      </c>
      <c r="D7" s="89"/>
      <c r="E7" s="96" t="s">
        <v>169</v>
      </c>
      <c r="F7" s="57" t="s">
        <v>18</v>
      </c>
      <c r="G7" s="114" t="s">
        <v>45</v>
      </c>
      <c r="H7" s="114" t="s">
        <v>46</v>
      </c>
      <c r="I7" s="106" t="s">
        <v>73</v>
      </c>
      <c r="J7" s="106" t="s">
        <v>161</v>
      </c>
      <c r="K7" s="7">
        <v>1.0</v>
      </c>
      <c r="L7" s="7">
        <v>1.0</v>
      </c>
      <c r="M7" s="7">
        <v>1.0</v>
      </c>
      <c r="N7" s="7">
        <v>1.0</v>
      </c>
      <c r="O7" s="7">
        <v>1.0</v>
      </c>
      <c r="P7" s="7">
        <v>1.0</v>
      </c>
      <c r="Q7" s="7">
        <v>1.0</v>
      </c>
      <c r="R7" s="7">
        <v>1.0</v>
      </c>
      <c r="S7" s="7">
        <v>1.0</v>
      </c>
      <c r="T7" s="7">
        <v>1.0</v>
      </c>
      <c r="U7" s="7">
        <v>1.0</v>
      </c>
      <c r="V7" s="7">
        <v>1.0</v>
      </c>
      <c r="W7" s="7">
        <v>1.0</v>
      </c>
      <c r="X7" s="7">
        <v>1.0</v>
      </c>
      <c r="Y7" s="7">
        <v>1.0</v>
      </c>
      <c r="Z7" s="7">
        <v>1.0</v>
      </c>
      <c r="AA7" s="7">
        <v>1.0</v>
      </c>
      <c r="AB7" s="7">
        <v>1.0</v>
      </c>
      <c r="AC7" s="7">
        <v>1.0</v>
      </c>
      <c r="AD7" s="7">
        <v>1.0</v>
      </c>
      <c r="AE7" s="7">
        <v>1.0</v>
      </c>
      <c r="AF7" s="7">
        <v>1.0</v>
      </c>
      <c r="AG7" s="7">
        <v>1.0</v>
      </c>
      <c r="AH7" s="7">
        <v>1.0</v>
      </c>
      <c r="AI7" s="67">
        <v>1.0</v>
      </c>
      <c r="AJ7" s="141"/>
      <c r="AK7" s="141"/>
      <c r="AL7" s="141"/>
      <c r="AM7" s="68"/>
      <c r="AN7" s="68"/>
      <c r="AO7" s="68"/>
      <c r="AP7" s="31">
        <f t="shared" si="1"/>
        <v>25</v>
      </c>
      <c r="AQ7" s="127" t="s">
        <v>182</v>
      </c>
      <c r="AR7" s="94"/>
    </row>
    <row r="8" ht="16.5" customHeight="1">
      <c r="A8" s="142"/>
      <c r="B8" s="67" t="s">
        <v>41</v>
      </c>
      <c r="C8" s="88" t="s">
        <v>15</v>
      </c>
      <c r="D8" s="89"/>
      <c r="E8" s="96" t="s">
        <v>183</v>
      </c>
      <c r="F8" s="57" t="s">
        <v>18</v>
      </c>
      <c r="G8" s="57" t="s">
        <v>75</v>
      </c>
      <c r="H8" s="57" t="s">
        <v>76</v>
      </c>
      <c r="I8" s="92" t="s">
        <v>30</v>
      </c>
      <c r="J8" s="92"/>
      <c r="K8" s="130"/>
      <c r="L8" s="7">
        <v>1.0</v>
      </c>
      <c r="M8" s="130"/>
      <c r="N8" s="130"/>
      <c r="O8" s="130"/>
      <c r="P8" s="130"/>
      <c r="Q8" s="7">
        <v>1.0</v>
      </c>
      <c r="R8" s="130"/>
      <c r="S8" s="7">
        <v>1.0</v>
      </c>
      <c r="T8" s="130"/>
      <c r="U8" s="130"/>
      <c r="V8" s="130"/>
      <c r="W8" s="130"/>
      <c r="X8" s="7">
        <v>1.0</v>
      </c>
      <c r="Y8" s="130"/>
      <c r="Z8" s="7">
        <v>1.0</v>
      </c>
      <c r="AA8" s="130"/>
      <c r="AB8" s="130"/>
      <c r="AC8" s="130"/>
      <c r="AD8" s="130"/>
      <c r="AE8" s="7">
        <v>1.0</v>
      </c>
      <c r="AF8" s="130"/>
      <c r="AG8" s="7">
        <v>1.0</v>
      </c>
      <c r="AH8" s="130"/>
      <c r="AI8" s="130"/>
      <c r="AJ8" s="130"/>
      <c r="AK8" s="130"/>
      <c r="AL8" s="7">
        <v>1.0</v>
      </c>
      <c r="AM8" s="130"/>
      <c r="AN8" s="7">
        <v>1.0</v>
      </c>
      <c r="AO8" s="67"/>
      <c r="AP8" s="31">
        <f t="shared" si="1"/>
        <v>9</v>
      </c>
      <c r="AQ8" s="145" t="s">
        <v>184</v>
      </c>
      <c r="AR8" s="120"/>
    </row>
    <row r="9" ht="16.5" customHeight="1">
      <c r="A9" s="55"/>
      <c r="B9" s="86" t="s">
        <v>92</v>
      </c>
      <c r="C9" s="88" t="s">
        <v>93</v>
      </c>
      <c r="D9" s="89"/>
      <c r="E9" s="96" t="s">
        <v>160</v>
      </c>
      <c r="F9" s="57" t="s">
        <v>18</v>
      </c>
      <c r="G9" s="96" t="s">
        <v>94</v>
      </c>
      <c r="H9" s="96" t="s">
        <v>95</v>
      </c>
      <c r="I9" s="92" t="s">
        <v>25</v>
      </c>
      <c r="J9" s="92" t="s">
        <v>161</v>
      </c>
      <c r="K9" s="7">
        <v>1.0</v>
      </c>
      <c r="L9" s="130"/>
      <c r="M9" s="7">
        <v>1.0</v>
      </c>
      <c r="N9" s="130"/>
      <c r="O9" s="130"/>
      <c r="P9" s="7">
        <v>1.0</v>
      </c>
      <c r="Q9" s="130"/>
      <c r="R9" s="7">
        <v>1.0</v>
      </c>
      <c r="S9" s="130"/>
      <c r="T9" s="7">
        <v>1.0</v>
      </c>
      <c r="U9" s="130"/>
      <c r="V9" s="130"/>
      <c r="W9" s="86">
        <v>1.0</v>
      </c>
      <c r="X9" s="86"/>
      <c r="Y9" s="86">
        <v>1.0</v>
      </c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31">
        <f t="shared" si="1"/>
        <v>7</v>
      </c>
      <c r="AQ9" s="127" t="s">
        <v>191</v>
      </c>
      <c r="AR9" s="94"/>
    </row>
    <row r="10" ht="16.5" customHeight="1">
      <c r="A10" s="55"/>
      <c r="B10" s="86" t="s">
        <v>92</v>
      </c>
      <c r="C10" s="88" t="s">
        <v>93</v>
      </c>
      <c r="D10" s="89" t="s">
        <v>33</v>
      </c>
      <c r="E10" s="105">
        <v>46235.0</v>
      </c>
      <c r="F10" s="57" t="s">
        <v>18</v>
      </c>
      <c r="G10" s="96" t="s">
        <v>94</v>
      </c>
      <c r="H10" s="96" t="s">
        <v>95</v>
      </c>
      <c r="I10" s="106" t="s">
        <v>30</v>
      </c>
      <c r="J10" s="106"/>
      <c r="K10" s="149"/>
      <c r="L10" s="149"/>
      <c r="M10" s="149"/>
      <c r="N10" s="149"/>
      <c r="O10" s="149"/>
      <c r="P10" s="149"/>
      <c r="Q10" s="149"/>
      <c r="R10" s="149"/>
      <c r="S10" s="149"/>
      <c r="T10" s="149"/>
      <c r="U10" s="149"/>
      <c r="V10" s="149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31">
        <f t="shared" si="1"/>
        <v>0</v>
      </c>
      <c r="AQ10" s="140" t="s">
        <v>43</v>
      </c>
      <c r="AR10" s="120"/>
    </row>
    <row r="11" ht="16.5" customHeight="1">
      <c r="A11" s="55"/>
      <c r="B11" s="57" t="s">
        <v>195</v>
      </c>
      <c r="C11" s="103" t="s">
        <v>56</v>
      </c>
      <c r="D11" s="89" t="s">
        <v>77</v>
      </c>
      <c r="E11" s="105">
        <v>46205.0</v>
      </c>
      <c r="F11" s="57" t="s">
        <v>18</v>
      </c>
      <c r="G11" s="57" t="s">
        <v>176</v>
      </c>
      <c r="H11" s="57" t="s">
        <v>177</v>
      </c>
      <c r="I11" s="106" t="s">
        <v>24</v>
      </c>
      <c r="J11" s="106" t="s">
        <v>161</v>
      </c>
      <c r="K11" s="7">
        <v>1.0</v>
      </c>
      <c r="L11" s="7">
        <v>1.0</v>
      </c>
      <c r="M11" s="7">
        <v>1.0</v>
      </c>
      <c r="N11" s="130"/>
      <c r="O11" s="130"/>
      <c r="P11" s="7">
        <v>1.0</v>
      </c>
      <c r="Q11" s="7">
        <v>1.0</v>
      </c>
      <c r="R11" s="7">
        <v>1.0</v>
      </c>
      <c r="S11" s="7">
        <v>1.0</v>
      </c>
      <c r="T11" s="7">
        <v>1.0</v>
      </c>
      <c r="U11" s="130"/>
      <c r="V11" s="130"/>
      <c r="W11" s="7">
        <v>1.0</v>
      </c>
      <c r="X11" s="7">
        <v>1.0</v>
      </c>
      <c r="Y11" s="7">
        <v>1.0</v>
      </c>
      <c r="Z11" s="7">
        <v>1.0</v>
      </c>
      <c r="AA11" s="7">
        <v>1.0</v>
      </c>
      <c r="AB11" s="130"/>
      <c r="AC11" s="130"/>
      <c r="AD11" s="7">
        <v>1.0</v>
      </c>
      <c r="AE11" s="7">
        <v>1.0</v>
      </c>
      <c r="AF11" s="7">
        <v>1.0</v>
      </c>
      <c r="AG11" s="7">
        <v>1.0</v>
      </c>
      <c r="AH11" s="7">
        <v>1.0</v>
      </c>
      <c r="AI11" s="130"/>
      <c r="AJ11" s="130"/>
      <c r="AK11" s="7">
        <v>1.0</v>
      </c>
      <c r="AL11" s="7">
        <v>1.0</v>
      </c>
      <c r="AM11" s="7">
        <v>1.0</v>
      </c>
      <c r="AN11" s="7">
        <v>1.0</v>
      </c>
      <c r="AO11" s="57">
        <v>1.0</v>
      </c>
      <c r="AP11" s="31">
        <f t="shared" si="1"/>
        <v>23</v>
      </c>
      <c r="AQ11" s="145" t="s">
        <v>201</v>
      </c>
      <c r="AR11" s="120"/>
    </row>
    <row r="12" ht="16.5" customHeight="1">
      <c r="A12" s="55"/>
      <c r="B12" s="86" t="s">
        <v>179</v>
      </c>
      <c r="C12" s="88" t="s">
        <v>56</v>
      </c>
      <c r="D12" s="89"/>
      <c r="E12" s="96" t="s">
        <v>169</v>
      </c>
      <c r="F12" s="96" t="s">
        <v>180</v>
      </c>
      <c r="G12" s="150" t="s">
        <v>181</v>
      </c>
      <c r="H12" s="150" t="s">
        <v>46</v>
      </c>
      <c r="I12" s="92" t="s">
        <v>25</v>
      </c>
      <c r="J12" s="92" t="s">
        <v>161</v>
      </c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31">
        <f t="shared" si="1"/>
        <v>0</v>
      </c>
      <c r="AQ12" s="140" t="s">
        <v>43</v>
      </c>
      <c r="AR12" s="120"/>
    </row>
    <row r="13" ht="16.5" customHeight="1">
      <c r="A13" s="55"/>
      <c r="B13" s="96" t="s">
        <v>204</v>
      </c>
      <c r="C13" s="88" t="s">
        <v>15</v>
      </c>
      <c r="D13" s="89" t="s">
        <v>16</v>
      </c>
      <c r="E13" s="90">
        <v>46233.0</v>
      </c>
      <c r="F13" s="96" t="s">
        <v>18</v>
      </c>
      <c r="G13" s="44" t="s">
        <v>205</v>
      </c>
      <c r="H13" s="44" t="s">
        <v>206</v>
      </c>
      <c r="I13" s="92" t="s">
        <v>25</v>
      </c>
      <c r="J13" s="92"/>
      <c r="K13" s="147"/>
      <c r="L13" s="149"/>
      <c r="M13" s="147"/>
      <c r="N13" s="149"/>
      <c r="O13" s="149"/>
      <c r="P13" s="147"/>
      <c r="Q13" s="149"/>
      <c r="R13" s="147"/>
      <c r="S13" s="149"/>
      <c r="T13" s="147"/>
      <c r="U13" s="149"/>
      <c r="V13" s="147"/>
      <c r="W13" s="147"/>
      <c r="X13" s="147"/>
      <c r="Y13" s="147"/>
      <c r="Z13" s="149"/>
      <c r="AA13" s="147"/>
      <c r="AB13" s="149"/>
      <c r="AC13" s="149"/>
      <c r="AD13" s="147"/>
      <c r="AE13" s="149"/>
      <c r="AF13" s="147"/>
      <c r="AG13" s="149"/>
      <c r="AH13" s="147"/>
      <c r="AI13" s="147"/>
      <c r="AJ13" s="147"/>
      <c r="AK13" s="147"/>
      <c r="AL13" s="147"/>
      <c r="AM13" s="147"/>
      <c r="AN13" s="7">
        <v>1.0</v>
      </c>
      <c r="AO13" s="57"/>
      <c r="AP13" s="31">
        <f t="shared" si="1"/>
        <v>1</v>
      </c>
      <c r="AQ13" s="145" t="s">
        <v>210</v>
      </c>
      <c r="AR13" s="120"/>
    </row>
    <row r="14" ht="16.5" customHeight="1">
      <c r="A14" s="55"/>
      <c r="B14" s="96" t="s">
        <v>111</v>
      </c>
      <c r="C14" s="88" t="s">
        <v>56</v>
      </c>
      <c r="D14" s="89"/>
      <c r="E14" s="96" t="s">
        <v>169</v>
      </c>
      <c r="F14" s="96" t="s">
        <v>112</v>
      </c>
      <c r="G14" s="114" t="s">
        <v>113</v>
      </c>
      <c r="H14" s="114" t="s">
        <v>115</v>
      </c>
      <c r="I14" s="92" t="s">
        <v>25</v>
      </c>
      <c r="J14" s="92" t="s">
        <v>161</v>
      </c>
      <c r="K14" s="7">
        <v>1.0</v>
      </c>
      <c r="L14" s="130"/>
      <c r="M14" s="7">
        <v>1.0</v>
      </c>
      <c r="N14" s="130"/>
      <c r="O14" s="130"/>
      <c r="P14" s="7">
        <v>1.0</v>
      </c>
      <c r="Q14" s="130"/>
      <c r="R14" s="7">
        <v>1.0</v>
      </c>
      <c r="S14" s="130"/>
      <c r="T14" s="7">
        <v>1.0</v>
      </c>
      <c r="U14" s="130"/>
      <c r="V14" s="130"/>
      <c r="W14" s="7">
        <v>1.0</v>
      </c>
      <c r="X14" s="130"/>
      <c r="Y14" s="7">
        <v>1.0</v>
      </c>
      <c r="Z14" s="130"/>
      <c r="AA14" s="7">
        <v>1.0</v>
      </c>
      <c r="AB14" s="130"/>
      <c r="AC14" s="130"/>
      <c r="AD14" s="7">
        <v>1.0</v>
      </c>
      <c r="AE14" s="130"/>
      <c r="AF14" s="7">
        <v>1.0</v>
      </c>
      <c r="AG14" s="130"/>
      <c r="AH14" s="7">
        <v>1.0</v>
      </c>
      <c r="AI14" s="7"/>
      <c r="AJ14" s="7"/>
      <c r="AK14" s="7">
        <v>1.0</v>
      </c>
      <c r="AL14" s="7"/>
      <c r="AM14" s="7">
        <v>1.0</v>
      </c>
      <c r="AN14" s="130"/>
      <c r="AO14" s="57">
        <v>1.0</v>
      </c>
      <c r="AP14" s="31">
        <f t="shared" si="1"/>
        <v>14</v>
      </c>
      <c r="AQ14" s="145" t="s">
        <v>170</v>
      </c>
      <c r="AR14" s="120"/>
    </row>
    <row r="15" ht="16.5" customHeight="1">
      <c r="A15" s="55"/>
      <c r="B15" s="86" t="s">
        <v>117</v>
      </c>
      <c r="C15" s="88" t="s">
        <v>56</v>
      </c>
      <c r="D15" s="89"/>
      <c r="E15" s="96" t="s">
        <v>169</v>
      </c>
      <c r="F15" s="96" t="s">
        <v>18</v>
      </c>
      <c r="G15" s="150" t="s">
        <v>119</v>
      </c>
      <c r="H15" s="150" t="s">
        <v>120</v>
      </c>
      <c r="I15" s="92" t="s">
        <v>25</v>
      </c>
      <c r="J15" s="92" t="s">
        <v>161</v>
      </c>
      <c r="K15" s="130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31">
        <f t="shared" si="1"/>
        <v>0</v>
      </c>
      <c r="AQ15" s="140" t="s">
        <v>43</v>
      </c>
      <c r="AR15" s="120"/>
    </row>
    <row r="16" ht="16.5" customHeight="1">
      <c r="A16" s="55"/>
      <c r="B16" s="96" t="s">
        <v>194</v>
      </c>
      <c r="C16" s="88" t="s">
        <v>56</v>
      </c>
      <c r="D16" s="89"/>
      <c r="E16" s="96" t="s">
        <v>169</v>
      </c>
      <c r="F16" s="96" t="s">
        <v>18</v>
      </c>
      <c r="G16" s="157" t="s">
        <v>142</v>
      </c>
      <c r="H16" s="150" t="s">
        <v>134</v>
      </c>
      <c r="I16" s="92" t="s">
        <v>25</v>
      </c>
      <c r="J16" s="92"/>
      <c r="K16" s="138"/>
      <c r="L16" s="26"/>
      <c r="M16" s="138"/>
      <c r="N16" s="26"/>
      <c r="O16" s="26"/>
      <c r="P16" s="138"/>
      <c r="Q16" s="26"/>
      <c r="R16" s="138"/>
      <c r="S16" s="26"/>
      <c r="T16" s="138"/>
      <c r="U16" s="26"/>
      <c r="V16" s="26"/>
      <c r="W16" s="138"/>
      <c r="X16" s="26"/>
      <c r="Y16" s="138"/>
      <c r="Z16" s="26"/>
      <c r="AA16" s="26"/>
      <c r="AB16" s="26"/>
      <c r="AC16" s="26"/>
      <c r="AD16" s="26"/>
      <c r="AE16" s="26"/>
      <c r="AF16" s="26"/>
      <c r="AG16" s="26"/>
      <c r="AH16" s="26"/>
      <c r="AI16" s="138"/>
      <c r="AJ16" s="138"/>
      <c r="AK16" s="138"/>
      <c r="AL16" s="138"/>
      <c r="AM16" s="26"/>
      <c r="AN16" s="26"/>
      <c r="AO16" s="159"/>
      <c r="AP16" s="31">
        <f t="shared" si="1"/>
        <v>0</v>
      </c>
      <c r="AQ16" s="140" t="s">
        <v>43</v>
      </c>
      <c r="AR16" s="120"/>
    </row>
    <row r="17" ht="16.5" customHeight="1">
      <c r="A17" s="55"/>
      <c r="B17" s="86" t="s">
        <v>197</v>
      </c>
      <c r="C17" s="88"/>
      <c r="D17" s="89"/>
      <c r="E17" s="90"/>
      <c r="F17" s="96" t="s">
        <v>18</v>
      </c>
      <c r="G17" s="150" t="s">
        <v>198</v>
      </c>
      <c r="H17" s="150" t="s">
        <v>199</v>
      </c>
      <c r="I17" s="92" t="s">
        <v>24</v>
      </c>
      <c r="J17" s="92" t="s">
        <v>161</v>
      </c>
      <c r="K17" s="130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31">
        <f t="shared" si="1"/>
        <v>0</v>
      </c>
      <c r="AQ17" s="140" t="s">
        <v>43</v>
      </c>
      <c r="AR17" s="120"/>
    </row>
    <row r="18" ht="16.5" customHeight="1">
      <c r="A18" s="55"/>
      <c r="B18" s="57" t="s">
        <v>220</v>
      </c>
      <c r="C18" s="88" t="s">
        <v>221</v>
      </c>
      <c r="D18" s="89" t="s">
        <v>16</v>
      </c>
      <c r="E18" s="90">
        <v>46226.0</v>
      </c>
      <c r="F18" s="96" t="s">
        <v>18</v>
      </c>
      <c r="G18" s="44" t="s">
        <v>198</v>
      </c>
      <c r="H18" s="44" t="s">
        <v>222</v>
      </c>
      <c r="I18" s="92" t="s">
        <v>25</v>
      </c>
      <c r="J18" s="92"/>
      <c r="K18" s="147"/>
      <c r="L18" s="149"/>
      <c r="M18" s="147"/>
      <c r="N18" s="149"/>
      <c r="O18" s="149"/>
      <c r="P18" s="147"/>
      <c r="Q18" s="149"/>
      <c r="R18" s="147"/>
      <c r="S18" s="149"/>
      <c r="T18" s="147"/>
      <c r="U18" s="149"/>
      <c r="V18" s="149"/>
      <c r="W18" s="147"/>
      <c r="X18" s="149"/>
      <c r="Y18" s="147"/>
      <c r="Z18" s="149"/>
      <c r="AA18" s="149"/>
      <c r="AB18" s="149"/>
      <c r="AC18" s="149"/>
      <c r="AD18" s="149"/>
      <c r="AE18" s="149"/>
      <c r="AF18" s="149"/>
      <c r="AG18" s="130"/>
      <c r="AH18" s="7">
        <v>1.0</v>
      </c>
      <c r="AI18" s="7"/>
      <c r="AJ18" s="130"/>
      <c r="AK18" s="7">
        <v>1.0</v>
      </c>
      <c r="AL18" s="7"/>
      <c r="AM18" s="7">
        <v>1.0</v>
      </c>
      <c r="AN18" s="130"/>
      <c r="AO18" s="123">
        <v>1.0</v>
      </c>
      <c r="AP18" s="31">
        <f t="shared" si="1"/>
        <v>4</v>
      </c>
      <c r="AQ18" s="145" t="s">
        <v>196</v>
      </c>
      <c r="AR18" s="120"/>
    </row>
    <row r="19" ht="16.5" customHeight="1">
      <c r="A19" s="55"/>
      <c r="B19" s="57" t="s">
        <v>123</v>
      </c>
      <c r="C19" s="88" t="s">
        <v>44</v>
      </c>
      <c r="D19" s="89"/>
      <c r="E19" s="96" t="s">
        <v>183</v>
      </c>
      <c r="F19" s="96" t="s">
        <v>124</v>
      </c>
      <c r="G19" s="96" t="s">
        <v>125</v>
      </c>
      <c r="H19" s="96" t="s">
        <v>126</v>
      </c>
      <c r="I19" s="92" t="s">
        <v>25</v>
      </c>
      <c r="J19" s="92" t="s">
        <v>161</v>
      </c>
      <c r="K19" s="7">
        <v>1.0</v>
      </c>
      <c r="L19" s="130"/>
      <c r="M19" s="7">
        <v>1.0</v>
      </c>
      <c r="N19" s="130"/>
      <c r="O19" s="130"/>
      <c r="P19" s="7">
        <v>1.0</v>
      </c>
      <c r="Q19" s="130"/>
      <c r="R19" s="7">
        <v>1.0</v>
      </c>
      <c r="S19" s="130"/>
      <c r="T19" s="7">
        <v>1.0</v>
      </c>
      <c r="U19" s="130"/>
      <c r="V19" s="130"/>
      <c r="W19" s="7">
        <v>1.0</v>
      </c>
      <c r="X19" s="130"/>
      <c r="Y19" s="7">
        <v>1.0</v>
      </c>
      <c r="Z19" s="130"/>
      <c r="AA19" s="7">
        <v>1.0</v>
      </c>
      <c r="AB19" s="130"/>
      <c r="AC19" s="130"/>
      <c r="AD19" s="7">
        <v>1.0</v>
      </c>
      <c r="AE19" s="130"/>
      <c r="AF19" s="7">
        <v>1.0</v>
      </c>
      <c r="AG19" s="130"/>
      <c r="AH19" s="7">
        <v>1.0</v>
      </c>
      <c r="AI19" s="7"/>
      <c r="AJ19" s="130"/>
      <c r="AK19" s="7">
        <v>1.0</v>
      </c>
      <c r="AL19" s="7"/>
      <c r="AM19" s="7">
        <v>1.0</v>
      </c>
      <c r="AN19" s="130"/>
      <c r="AO19" s="123">
        <v>1.0</v>
      </c>
      <c r="AP19" s="31">
        <f t="shared" si="1"/>
        <v>14</v>
      </c>
      <c r="AQ19" s="145" t="s">
        <v>173</v>
      </c>
      <c r="AR19" s="120"/>
    </row>
    <row r="20">
      <c r="A20" s="137"/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137"/>
      <c r="AQ20" s="137"/>
      <c r="AR20" s="137"/>
    </row>
    <row r="21">
      <c r="A21" s="137"/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137"/>
      <c r="AC21" s="137"/>
      <c r="AD21" s="137"/>
      <c r="AE21" s="137"/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  <c r="AP21" s="137"/>
      <c r="AQ21" s="137"/>
      <c r="AR21" s="137"/>
    </row>
    <row r="22">
      <c r="A22" s="137"/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  <c r="AK22" s="137"/>
      <c r="AL22" s="137"/>
      <c r="AM22" s="137"/>
      <c r="AN22" s="137"/>
      <c r="AO22" s="137"/>
      <c r="AP22" s="137"/>
      <c r="AQ22" s="137"/>
      <c r="AR22" s="137"/>
    </row>
    <row r="23">
      <c r="A23" s="137"/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  <c r="AK23" s="137"/>
      <c r="AL23" s="137"/>
      <c r="AM23" s="137"/>
      <c r="AN23" s="137"/>
      <c r="AO23" s="137"/>
      <c r="AP23" s="137"/>
      <c r="AQ23" s="137"/>
      <c r="AR23" s="137"/>
    </row>
    <row r="24">
      <c r="A24" s="137"/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</row>
  </sheetData>
  <dataValidations>
    <dataValidation type="list" allowBlank="1" showErrorMessage="1" sqref="I2:I19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19">
      <formula1>"ECONOMUS,CABESP,ALICE SAÚDE,VIVEST,PORTO SEGURO,CARE PLUS,OMINT,UNIMED SEGUROS,PETROBRAS,PARTICULAR,ITAUSEG"</formula1>
    </dataValidation>
    <dataValidation type="list" allowBlank="1" showErrorMessage="1" sqref="D2:D19">
      <formula1>"NOVO PACIENTE,READMISSÃO,TROCA,INTENSIFICAÇÃO,DESMAME,COBERTURA,REVEZAMENTO"</formula1>
    </dataValidation>
    <dataValidation type="list" allowBlank="1" showErrorMessage="1" sqref="J2:J19">
      <formula1>"OK"</formula1>
    </dataValidation>
  </dataValidation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41.25"/>
    <col customWidth="1" min="3" max="3" width="18.75"/>
    <col customWidth="1" min="4" max="4" width="19.38"/>
    <col customWidth="1" min="6" max="6" width="21.88"/>
    <col customWidth="1" min="7" max="7" width="34.25"/>
    <col customWidth="1" min="8" max="8" width="15.0"/>
    <col customWidth="1" min="9" max="9" width="15.25"/>
    <col customWidth="1" min="10" max="10" width="8.75"/>
    <col customWidth="1" min="11" max="41" width="4.38"/>
    <col customWidth="1" min="42" max="42" width="7.0"/>
    <col customWidth="1" min="43" max="43" width="9.13"/>
  </cols>
  <sheetData>
    <row r="1">
      <c r="A1" s="11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13" t="s">
        <v>159</v>
      </c>
      <c r="K1" s="3">
        <v>1.0</v>
      </c>
      <c r="L1" s="3">
        <v>2.0</v>
      </c>
      <c r="M1" s="3">
        <v>3.0</v>
      </c>
      <c r="N1" s="3">
        <v>4.0</v>
      </c>
      <c r="O1" s="3">
        <v>5.0</v>
      </c>
      <c r="P1" s="3">
        <v>6.0</v>
      </c>
      <c r="Q1" s="3">
        <v>7.0</v>
      </c>
      <c r="R1" s="3">
        <v>8.0</v>
      </c>
      <c r="S1" s="3">
        <v>9.0</v>
      </c>
      <c r="T1" s="3">
        <v>10.0</v>
      </c>
      <c r="U1" s="3">
        <v>11.0</v>
      </c>
      <c r="V1" s="3">
        <v>12.0</v>
      </c>
      <c r="W1" s="3">
        <v>13.0</v>
      </c>
      <c r="X1" s="3">
        <v>14.0</v>
      </c>
      <c r="Y1" s="3">
        <v>15.0</v>
      </c>
      <c r="Z1" s="3">
        <v>16.0</v>
      </c>
      <c r="AA1" s="3">
        <v>17.0</v>
      </c>
      <c r="AB1" s="3">
        <v>18.0</v>
      </c>
      <c r="AC1" s="3">
        <v>19.0</v>
      </c>
      <c r="AD1" s="3">
        <v>20.0</v>
      </c>
      <c r="AE1" s="3">
        <v>21.0</v>
      </c>
      <c r="AF1" s="3">
        <v>22.0</v>
      </c>
      <c r="AG1" s="3">
        <v>23.0</v>
      </c>
      <c r="AH1" s="3">
        <v>24.0</v>
      </c>
      <c r="AI1" s="3">
        <v>25.0</v>
      </c>
      <c r="AJ1" s="3">
        <v>26.0</v>
      </c>
      <c r="AK1" s="3">
        <v>27.0</v>
      </c>
      <c r="AL1" s="3">
        <v>28.0</v>
      </c>
      <c r="AM1" s="3">
        <v>29.0</v>
      </c>
      <c r="AN1" s="3">
        <v>30.0</v>
      </c>
      <c r="AO1" s="3">
        <v>31.0</v>
      </c>
      <c r="AP1" s="3" t="s">
        <v>9</v>
      </c>
      <c r="AQ1" s="111" t="s">
        <v>140</v>
      </c>
    </row>
    <row r="2" ht="16.5" customHeight="1">
      <c r="A2" s="118" t="s">
        <v>52</v>
      </c>
      <c r="B2" s="57" t="s">
        <v>12</v>
      </c>
      <c r="C2" s="88" t="s">
        <v>14</v>
      </c>
      <c r="D2" s="89"/>
      <c r="E2" s="96"/>
      <c r="F2" s="57" t="s">
        <v>17</v>
      </c>
      <c r="G2" s="91" t="s">
        <v>20</v>
      </c>
      <c r="H2" s="91" t="s">
        <v>23</v>
      </c>
      <c r="I2" s="92" t="s">
        <v>73</v>
      </c>
      <c r="J2" s="92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144"/>
      <c r="AP2" s="31">
        <f t="shared" ref="AP2:AP22" si="1">SUM(K2:AO2)</f>
        <v>0</v>
      </c>
      <c r="AQ2" s="146"/>
    </row>
    <row r="3" ht="16.5" customHeight="1">
      <c r="A3" s="128" t="s">
        <v>11</v>
      </c>
      <c r="B3" s="102" t="s">
        <v>185</v>
      </c>
      <c r="C3" s="88" t="s">
        <v>14</v>
      </c>
      <c r="D3" s="89" t="s">
        <v>16</v>
      </c>
      <c r="E3" s="90">
        <v>46235.0</v>
      </c>
      <c r="F3" s="96" t="s">
        <v>124</v>
      </c>
      <c r="G3" s="44" t="s">
        <v>186</v>
      </c>
      <c r="H3" s="44" t="s">
        <v>188</v>
      </c>
      <c r="I3" s="92" t="s">
        <v>25</v>
      </c>
      <c r="J3" s="92"/>
      <c r="K3" s="147"/>
      <c r="L3" s="149"/>
      <c r="M3" s="147"/>
      <c r="N3" s="149"/>
      <c r="O3" s="149"/>
      <c r="P3" s="147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31">
        <f t="shared" si="1"/>
        <v>0</v>
      </c>
      <c r="AQ3" s="146" t="s">
        <v>43</v>
      </c>
    </row>
    <row r="4" ht="16.5" customHeight="1">
      <c r="A4" s="132" t="s">
        <v>40</v>
      </c>
      <c r="B4" s="102" t="s">
        <v>185</v>
      </c>
      <c r="C4" s="88" t="s">
        <v>14</v>
      </c>
      <c r="D4" s="89" t="s">
        <v>47</v>
      </c>
      <c r="E4" s="90">
        <v>46239.0</v>
      </c>
      <c r="F4" s="96" t="s">
        <v>124</v>
      </c>
      <c r="G4" s="44" t="s">
        <v>192</v>
      </c>
      <c r="H4" s="44" t="s">
        <v>193</v>
      </c>
      <c r="I4" s="92" t="s">
        <v>25</v>
      </c>
      <c r="J4" s="92"/>
      <c r="K4" s="147"/>
      <c r="L4" s="149"/>
      <c r="M4" s="147"/>
      <c r="N4" s="149"/>
      <c r="O4" s="130"/>
      <c r="P4" s="7">
        <v>1.0</v>
      </c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31">
        <f t="shared" si="1"/>
        <v>1</v>
      </c>
      <c r="AQ4" s="146"/>
    </row>
    <row r="5" ht="16.5" customHeight="1">
      <c r="A5" s="134" t="s">
        <v>32</v>
      </c>
      <c r="B5" s="33" t="s">
        <v>144</v>
      </c>
      <c r="C5" s="88" t="s">
        <v>79</v>
      </c>
      <c r="D5" s="89"/>
      <c r="E5" s="96"/>
      <c r="F5" s="96" t="s">
        <v>145</v>
      </c>
      <c r="G5" s="129" t="s">
        <v>146</v>
      </c>
      <c r="H5" s="129" t="s">
        <v>147</v>
      </c>
      <c r="I5" s="92" t="s">
        <v>25</v>
      </c>
      <c r="J5" s="92"/>
      <c r="K5" s="7"/>
      <c r="L5" s="130"/>
      <c r="M5" s="7"/>
      <c r="N5" s="130"/>
      <c r="O5" s="130"/>
      <c r="P5" s="7"/>
      <c r="Q5" s="130"/>
      <c r="R5" s="7"/>
      <c r="S5" s="130"/>
      <c r="T5" s="7"/>
      <c r="U5" s="130"/>
      <c r="V5" s="130"/>
      <c r="W5" s="7"/>
      <c r="X5" s="130"/>
      <c r="Y5" s="7"/>
      <c r="Z5" s="130"/>
      <c r="AA5" s="7"/>
      <c r="AB5" s="130"/>
      <c r="AC5" s="130"/>
      <c r="AD5" s="7"/>
      <c r="AE5" s="130"/>
      <c r="AF5" s="7"/>
      <c r="AG5" s="130"/>
      <c r="AH5" s="7"/>
      <c r="AI5" s="130"/>
      <c r="AJ5" s="130"/>
      <c r="AK5" s="7"/>
      <c r="AL5" s="130"/>
      <c r="AM5" s="7"/>
      <c r="AN5" s="130"/>
      <c r="AO5" s="144"/>
      <c r="AP5" s="31">
        <f t="shared" si="1"/>
        <v>0</v>
      </c>
      <c r="AQ5" s="146"/>
    </row>
    <row r="6" ht="16.5" customHeight="1">
      <c r="A6" s="154"/>
      <c r="B6" s="33" t="s">
        <v>141</v>
      </c>
      <c r="C6" s="88" t="s">
        <v>56</v>
      </c>
      <c r="D6" s="89"/>
      <c r="E6" s="96"/>
      <c r="F6" s="96" t="s">
        <v>18</v>
      </c>
      <c r="G6" s="133" t="s">
        <v>142</v>
      </c>
      <c r="H6" s="129" t="s">
        <v>134</v>
      </c>
      <c r="I6" s="92" t="s">
        <v>25</v>
      </c>
      <c r="J6" s="92"/>
      <c r="K6" s="7"/>
      <c r="L6" s="130"/>
      <c r="M6" s="7"/>
      <c r="N6" s="130"/>
      <c r="O6" s="130"/>
      <c r="P6" s="7"/>
      <c r="Q6" s="130"/>
      <c r="R6" s="7"/>
      <c r="S6" s="130"/>
      <c r="T6" s="7"/>
      <c r="U6" s="130"/>
      <c r="V6" s="130"/>
      <c r="W6" s="7"/>
      <c r="X6" s="130"/>
      <c r="Y6" s="7"/>
      <c r="Z6" s="130"/>
      <c r="AA6" s="7"/>
      <c r="AB6" s="130"/>
      <c r="AC6" s="130"/>
      <c r="AD6" s="7"/>
      <c r="AE6" s="130"/>
      <c r="AF6" s="7"/>
      <c r="AG6" s="130"/>
      <c r="AH6" s="7"/>
      <c r="AI6" s="130"/>
      <c r="AJ6" s="130"/>
      <c r="AK6" s="7"/>
      <c r="AL6" s="130"/>
      <c r="AM6" s="7"/>
      <c r="AN6" s="130"/>
      <c r="AO6" s="144"/>
      <c r="AP6" s="31">
        <f t="shared" si="1"/>
        <v>0</v>
      </c>
      <c r="AQ6" s="146"/>
    </row>
    <row r="7" ht="16.5" customHeight="1">
      <c r="A7" s="154"/>
      <c r="B7" s="57" t="s">
        <v>78</v>
      </c>
      <c r="C7" s="88" t="s">
        <v>79</v>
      </c>
      <c r="D7" s="89"/>
      <c r="E7" s="96"/>
      <c r="F7" s="96" t="s">
        <v>81</v>
      </c>
      <c r="G7" s="96" t="s">
        <v>82</v>
      </c>
      <c r="H7" s="96" t="s">
        <v>83</v>
      </c>
      <c r="I7" s="92" t="s">
        <v>25</v>
      </c>
      <c r="J7" s="92"/>
      <c r="K7" s="7"/>
      <c r="L7" s="130"/>
      <c r="M7" s="7"/>
      <c r="N7" s="130"/>
      <c r="O7" s="130"/>
      <c r="P7" s="7"/>
      <c r="Q7" s="130"/>
      <c r="R7" s="7"/>
      <c r="S7" s="130"/>
      <c r="T7" s="7"/>
      <c r="U7" s="130"/>
      <c r="V7" s="130"/>
      <c r="W7" s="7"/>
      <c r="X7" s="130"/>
      <c r="Y7" s="7"/>
      <c r="Z7" s="130"/>
      <c r="AA7" s="7"/>
      <c r="AB7" s="130"/>
      <c r="AC7" s="130"/>
      <c r="AD7" s="7"/>
      <c r="AE7" s="130"/>
      <c r="AF7" s="7"/>
      <c r="AG7" s="130"/>
      <c r="AH7" s="7"/>
      <c r="AI7" s="130"/>
      <c r="AJ7" s="130"/>
      <c r="AK7" s="7"/>
      <c r="AL7" s="130"/>
      <c r="AM7" s="7"/>
      <c r="AN7" s="130"/>
      <c r="AO7" s="57"/>
      <c r="AP7" s="31">
        <f t="shared" si="1"/>
        <v>0</v>
      </c>
      <c r="AQ7" s="146"/>
    </row>
    <row r="8" ht="16.5" customHeight="1">
      <c r="A8" s="154"/>
      <c r="B8" s="57" t="s">
        <v>78</v>
      </c>
      <c r="C8" s="88" t="s">
        <v>79</v>
      </c>
      <c r="D8" s="89" t="s">
        <v>33</v>
      </c>
      <c r="E8" s="90">
        <v>46249.0</v>
      </c>
      <c r="F8" s="96" t="s">
        <v>81</v>
      </c>
      <c r="G8" s="96" t="s">
        <v>82</v>
      </c>
      <c r="H8" s="96" t="s">
        <v>83</v>
      </c>
      <c r="I8" s="92" t="s">
        <v>30</v>
      </c>
      <c r="J8" s="92"/>
      <c r="K8" s="7"/>
      <c r="L8" s="130"/>
      <c r="M8" s="7"/>
      <c r="N8" s="130"/>
      <c r="O8" s="130"/>
      <c r="P8" s="7"/>
      <c r="Q8" s="130"/>
      <c r="R8" s="7"/>
      <c r="S8" s="130"/>
      <c r="T8" s="7"/>
      <c r="U8" s="130"/>
      <c r="V8" s="130"/>
      <c r="W8" s="7"/>
      <c r="X8" s="130"/>
      <c r="Y8" s="7"/>
      <c r="Z8" s="130"/>
      <c r="AA8" s="7"/>
      <c r="AB8" s="130"/>
      <c r="AC8" s="130"/>
      <c r="AD8" s="7"/>
      <c r="AE8" s="130"/>
      <c r="AF8" s="7"/>
      <c r="AG8" s="130"/>
      <c r="AH8" s="7"/>
      <c r="AI8" s="130"/>
      <c r="AJ8" s="130"/>
      <c r="AK8" s="7"/>
      <c r="AL8" s="130"/>
      <c r="AM8" s="7"/>
      <c r="AN8" s="130"/>
      <c r="AO8" s="57"/>
      <c r="AP8" s="31">
        <f t="shared" si="1"/>
        <v>0</v>
      </c>
      <c r="AQ8" s="146"/>
    </row>
    <row r="9" ht="16.5" customHeight="1">
      <c r="A9" s="155"/>
      <c r="B9" s="68" t="s">
        <v>212</v>
      </c>
      <c r="C9" s="103" t="s">
        <v>14</v>
      </c>
      <c r="D9" s="89" t="s">
        <v>16</v>
      </c>
      <c r="E9" s="105">
        <v>46237.0</v>
      </c>
      <c r="F9" s="57" t="s">
        <v>18</v>
      </c>
      <c r="G9" s="12" t="s">
        <v>142</v>
      </c>
      <c r="H9" s="12" t="s">
        <v>213</v>
      </c>
      <c r="I9" s="106" t="s">
        <v>25</v>
      </c>
      <c r="J9" s="106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53"/>
      <c r="AJ9" s="7"/>
      <c r="AK9" s="158"/>
      <c r="AL9" s="158"/>
      <c r="AM9" s="68"/>
      <c r="AN9" s="68"/>
      <c r="AO9" s="68"/>
      <c r="AP9" s="31">
        <f t="shared" si="1"/>
        <v>0</v>
      </c>
      <c r="AQ9" s="146"/>
    </row>
    <row r="10" ht="16.5" customHeight="1">
      <c r="A10" s="154"/>
      <c r="B10" s="68" t="s">
        <v>214</v>
      </c>
      <c r="C10" s="103" t="s">
        <v>56</v>
      </c>
      <c r="D10" s="89" t="s">
        <v>16</v>
      </c>
      <c r="E10" s="90">
        <v>46244.0</v>
      </c>
      <c r="F10" s="57" t="s">
        <v>18</v>
      </c>
      <c r="G10" s="44" t="s">
        <v>215</v>
      </c>
      <c r="H10" s="44" t="s">
        <v>216</v>
      </c>
      <c r="I10" s="106" t="s">
        <v>25</v>
      </c>
      <c r="J10" s="106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53"/>
      <c r="AJ10" s="7"/>
      <c r="AK10" s="158"/>
      <c r="AL10" s="158"/>
      <c r="AM10" s="68"/>
      <c r="AN10" s="68"/>
      <c r="AO10" s="68"/>
      <c r="AP10" s="31">
        <f t="shared" si="1"/>
        <v>0</v>
      </c>
      <c r="AQ10" s="146"/>
    </row>
    <row r="11" ht="16.5" customHeight="1">
      <c r="A11" s="154"/>
      <c r="B11" s="68" t="s">
        <v>214</v>
      </c>
      <c r="C11" s="103" t="s">
        <v>56</v>
      </c>
      <c r="D11" s="89" t="s">
        <v>35</v>
      </c>
      <c r="E11" s="90">
        <v>46248.0</v>
      </c>
      <c r="F11" s="57" t="s">
        <v>18</v>
      </c>
      <c r="G11" s="44" t="s">
        <v>57</v>
      </c>
      <c r="H11" s="44" t="s">
        <v>217</v>
      </c>
      <c r="I11" s="106" t="s">
        <v>218</v>
      </c>
      <c r="J11" s="106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53"/>
      <c r="AJ11" s="7"/>
      <c r="AK11" s="158"/>
      <c r="AL11" s="158"/>
      <c r="AM11" s="68"/>
      <c r="AN11" s="68"/>
      <c r="AO11" s="68"/>
      <c r="AP11" s="31">
        <f t="shared" si="1"/>
        <v>0</v>
      </c>
      <c r="AQ11" s="146"/>
    </row>
    <row r="12" ht="16.5" customHeight="1">
      <c r="A12" s="154"/>
      <c r="B12" s="68" t="s">
        <v>214</v>
      </c>
      <c r="C12" s="103" t="s">
        <v>56</v>
      </c>
      <c r="D12" s="89" t="s">
        <v>47</v>
      </c>
      <c r="E12" s="90">
        <v>46251.0</v>
      </c>
      <c r="F12" s="57" t="s">
        <v>18</v>
      </c>
      <c r="G12" s="44" t="s">
        <v>223</v>
      </c>
      <c r="H12" s="44" t="s">
        <v>224</v>
      </c>
      <c r="I12" s="106" t="s">
        <v>25</v>
      </c>
      <c r="J12" s="106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53"/>
      <c r="AJ12" s="7"/>
      <c r="AK12" s="158"/>
      <c r="AL12" s="158"/>
      <c r="AM12" s="68"/>
      <c r="AN12" s="68"/>
      <c r="AO12" s="68"/>
      <c r="AP12" s="31">
        <f t="shared" si="1"/>
        <v>0</v>
      </c>
      <c r="AQ12" s="146"/>
    </row>
    <row r="13" ht="16.5" customHeight="1">
      <c r="A13" s="154"/>
      <c r="B13" s="68" t="s">
        <v>72</v>
      </c>
      <c r="C13" s="103" t="s">
        <v>56</v>
      </c>
      <c r="D13" s="89"/>
      <c r="E13" s="96"/>
      <c r="F13" s="57" t="s">
        <v>18</v>
      </c>
      <c r="G13" s="114" t="s">
        <v>45</v>
      </c>
      <c r="H13" s="114" t="s">
        <v>46</v>
      </c>
      <c r="I13" s="106" t="s">
        <v>73</v>
      </c>
      <c r="J13" s="106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53"/>
      <c r="AJ13" s="7"/>
      <c r="AK13" s="7"/>
      <c r="AL13" s="7"/>
      <c r="AM13" s="68"/>
      <c r="AN13" s="68"/>
      <c r="AO13" s="68"/>
      <c r="AP13" s="31">
        <f t="shared" si="1"/>
        <v>0</v>
      </c>
      <c r="AQ13" s="146"/>
    </row>
    <row r="14" ht="16.5" customHeight="1">
      <c r="A14" s="55"/>
      <c r="B14" s="68" t="s">
        <v>226</v>
      </c>
      <c r="C14" s="103" t="s">
        <v>15</v>
      </c>
      <c r="D14" s="89" t="s">
        <v>77</v>
      </c>
      <c r="E14" s="105">
        <v>46244.0</v>
      </c>
      <c r="F14" s="57" t="s">
        <v>18</v>
      </c>
      <c r="G14" s="44" t="s">
        <v>75</v>
      </c>
      <c r="H14" s="44" t="s">
        <v>76</v>
      </c>
      <c r="I14" s="106" t="s">
        <v>25</v>
      </c>
      <c r="J14" s="106"/>
      <c r="K14" s="7"/>
      <c r="L14" s="7"/>
      <c r="M14" s="7"/>
      <c r="N14" s="130"/>
      <c r="O14" s="130"/>
      <c r="P14" s="7"/>
      <c r="Q14" s="7"/>
      <c r="R14" s="7"/>
      <c r="S14" s="7"/>
      <c r="T14" s="7"/>
      <c r="U14" s="130"/>
      <c r="V14" s="130"/>
      <c r="W14" s="7"/>
      <c r="X14" s="7"/>
      <c r="Y14" s="7"/>
      <c r="Z14" s="7"/>
      <c r="AA14" s="7"/>
      <c r="AB14" s="130"/>
      <c r="AC14" s="130"/>
      <c r="AD14" s="7"/>
      <c r="AE14" s="7"/>
      <c r="AF14" s="7"/>
      <c r="AG14" s="7"/>
      <c r="AH14" s="7"/>
      <c r="AI14" s="130"/>
      <c r="AJ14" s="130"/>
      <c r="AK14" s="7"/>
      <c r="AL14" s="7"/>
      <c r="AM14" s="158"/>
      <c r="AN14" s="158"/>
      <c r="AO14" s="68"/>
      <c r="AP14" s="31">
        <f t="shared" si="1"/>
        <v>0</v>
      </c>
      <c r="AQ14" s="161"/>
    </row>
    <row r="15" ht="16.5" customHeight="1">
      <c r="A15" s="55"/>
      <c r="B15" s="57" t="s">
        <v>195</v>
      </c>
      <c r="C15" s="103" t="s">
        <v>56</v>
      </c>
      <c r="D15" s="89"/>
      <c r="E15" s="105"/>
      <c r="F15" s="57" t="s">
        <v>18</v>
      </c>
      <c r="G15" s="57" t="s">
        <v>176</v>
      </c>
      <c r="H15" s="57" t="s">
        <v>177</v>
      </c>
      <c r="I15" s="106" t="s">
        <v>24</v>
      </c>
      <c r="J15" s="106"/>
      <c r="K15" s="7"/>
      <c r="L15" s="7"/>
      <c r="M15" s="7"/>
      <c r="N15" s="130"/>
      <c r="O15" s="130"/>
      <c r="P15" s="7"/>
      <c r="Q15" s="7"/>
      <c r="R15" s="7"/>
      <c r="S15" s="7"/>
      <c r="T15" s="7"/>
      <c r="U15" s="130"/>
      <c r="V15" s="6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31">
        <f t="shared" si="1"/>
        <v>0</v>
      </c>
      <c r="AQ15" s="161"/>
    </row>
    <row r="16" ht="16.5" customHeight="1">
      <c r="A16" s="55"/>
      <c r="B16" s="67" t="s">
        <v>204</v>
      </c>
      <c r="C16" s="88" t="s">
        <v>15</v>
      </c>
      <c r="D16" s="89"/>
      <c r="E16" s="90"/>
      <c r="F16" s="96" t="s">
        <v>18</v>
      </c>
      <c r="G16" s="44" t="s">
        <v>205</v>
      </c>
      <c r="H16" s="44" t="s">
        <v>206</v>
      </c>
      <c r="I16" s="92" t="s">
        <v>25</v>
      </c>
      <c r="J16" s="92"/>
      <c r="K16" s="7"/>
      <c r="L16" s="130"/>
      <c r="M16" s="7"/>
      <c r="N16" s="130"/>
      <c r="O16" s="130"/>
      <c r="P16" s="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31">
        <f t="shared" si="1"/>
        <v>0</v>
      </c>
      <c r="AQ16" s="161"/>
    </row>
    <row r="17" ht="16.5" customHeight="1">
      <c r="A17" s="55"/>
      <c r="B17" s="96" t="s">
        <v>111</v>
      </c>
      <c r="C17" s="88" t="s">
        <v>56</v>
      </c>
      <c r="D17" s="89"/>
      <c r="E17" s="96"/>
      <c r="F17" s="96" t="s">
        <v>112</v>
      </c>
      <c r="G17" s="114" t="s">
        <v>113</v>
      </c>
      <c r="H17" s="114" t="s">
        <v>115</v>
      </c>
      <c r="I17" s="92" t="s">
        <v>25</v>
      </c>
      <c r="J17" s="92"/>
      <c r="K17" s="7"/>
      <c r="L17" s="130"/>
      <c r="M17" s="7"/>
      <c r="N17" s="130"/>
      <c r="O17" s="130"/>
      <c r="P17" s="7"/>
      <c r="Q17" s="130"/>
      <c r="R17" s="7"/>
      <c r="S17" s="130"/>
      <c r="T17" s="7"/>
      <c r="U17" s="130"/>
      <c r="V17" s="130"/>
      <c r="W17" s="7"/>
      <c r="X17" s="130"/>
      <c r="Y17" s="7"/>
      <c r="Z17" s="130"/>
      <c r="AA17" s="7"/>
      <c r="AB17" s="130"/>
      <c r="AC17" s="130"/>
      <c r="AD17" s="7"/>
      <c r="AE17" s="130"/>
      <c r="AF17" s="7"/>
      <c r="AG17" s="130"/>
      <c r="AH17" s="7"/>
      <c r="AI17" s="7"/>
      <c r="AJ17" s="7"/>
      <c r="AK17" s="7"/>
      <c r="AL17" s="7"/>
      <c r="AM17" s="7"/>
      <c r="AN17" s="130"/>
      <c r="AO17" s="57"/>
      <c r="AP17" s="31">
        <f t="shared" si="1"/>
        <v>0</v>
      </c>
      <c r="AQ17" s="161"/>
    </row>
    <row r="18" ht="16.5" customHeight="1">
      <c r="A18" s="55"/>
      <c r="B18" s="57" t="s">
        <v>220</v>
      </c>
      <c r="C18" s="88" t="s">
        <v>221</v>
      </c>
      <c r="D18" s="89"/>
      <c r="E18" s="90"/>
      <c r="F18" s="96" t="s">
        <v>18</v>
      </c>
      <c r="G18" s="44" t="s">
        <v>198</v>
      </c>
      <c r="H18" s="44" t="s">
        <v>222</v>
      </c>
      <c r="I18" s="92" t="s">
        <v>25</v>
      </c>
      <c r="J18" s="92"/>
      <c r="K18" s="7"/>
      <c r="L18" s="130"/>
      <c r="M18" s="7"/>
      <c r="N18" s="130"/>
      <c r="O18" s="130"/>
      <c r="P18" s="7"/>
      <c r="Q18" s="130"/>
      <c r="R18" s="7"/>
      <c r="S18" s="130"/>
      <c r="T18" s="7"/>
      <c r="U18" s="130"/>
      <c r="V18" s="130"/>
      <c r="W18" s="7"/>
      <c r="X18" s="130"/>
      <c r="Y18" s="7"/>
      <c r="Z18" s="130"/>
      <c r="AA18" s="130"/>
      <c r="AB18" s="130"/>
      <c r="AC18" s="130"/>
      <c r="AD18" s="130"/>
      <c r="AE18" s="130"/>
      <c r="AF18" s="130"/>
      <c r="AG18" s="130"/>
      <c r="AH18" s="7"/>
      <c r="AI18" s="7"/>
      <c r="AJ18" s="130"/>
      <c r="AK18" s="7"/>
      <c r="AL18" s="7"/>
      <c r="AM18" s="7"/>
      <c r="AN18" s="130"/>
      <c r="AO18" s="144"/>
      <c r="AP18" s="31">
        <f t="shared" si="1"/>
        <v>0</v>
      </c>
      <c r="AQ18" s="161"/>
    </row>
    <row r="19" ht="16.5" customHeight="1">
      <c r="A19" s="55"/>
      <c r="B19" s="86" t="s">
        <v>123</v>
      </c>
      <c r="C19" s="88" t="s">
        <v>44</v>
      </c>
      <c r="D19" s="89"/>
      <c r="E19" s="96"/>
      <c r="F19" s="96" t="s">
        <v>124</v>
      </c>
      <c r="G19" s="150" t="s">
        <v>125</v>
      </c>
      <c r="H19" s="150" t="s">
        <v>126</v>
      </c>
      <c r="I19" s="92" t="s">
        <v>25</v>
      </c>
      <c r="J19" s="92"/>
      <c r="K19" s="7"/>
      <c r="L19" s="130"/>
      <c r="M19" s="7"/>
      <c r="N19" s="130"/>
      <c r="O19" s="130"/>
      <c r="P19" s="7"/>
      <c r="Q19" s="130"/>
      <c r="R19" s="7"/>
      <c r="S19" s="130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31">
        <f t="shared" si="1"/>
        <v>0</v>
      </c>
      <c r="AQ19" s="161"/>
    </row>
    <row r="20" ht="16.5" customHeight="1">
      <c r="A20" s="55"/>
      <c r="B20" s="86" t="s">
        <v>123</v>
      </c>
      <c r="C20" s="88" t="s">
        <v>44</v>
      </c>
      <c r="D20" s="89" t="s">
        <v>33</v>
      </c>
      <c r="E20" s="90">
        <v>46253.0</v>
      </c>
      <c r="F20" s="96" t="s">
        <v>124</v>
      </c>
      <c r="G20" s="150" t="s">
        <v>125</v>
      </c>
      <c r="H20" s="150" t="s">
        <v>126</v>
      </c>
      <c r="I20" s="92" t="s">
        <v>30</v>
      </c>
      <c r="J20" s="92"/>
      <c r="K20" s="147"/>
      <c r="L20" s="149"/>
      <c r="M20" s="147"/>
      <c r="N20" s="149"/>
      <c r="O20" s="149"/>
      <c r="P20" s="147"/>
      <c r="Q20" s="149"/>
      <c r="R20" s="147"/>
      <c r="S20" s="149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31">
        <f t="shared" si="1"/>
        <v>0</v>
      </c>
      <c r="AQ20" s="161"/>
    </row>
    <row r="21">
      <c r="A21" s="162"/>
      <c r="B21" s="8" t="s">
        <v>123</v>
      </c>
      <c r="C21" s="88" t="s">
        <v>44</v>
      </c>
      <c r="D21" s="89" t="s">
        <v>47</v>
      </c>
      <c r="E21" s="23">
        <v>46244.0</v>
      </c>
      <c r="F21" s="96" t="s">
        <v>124</v>
      </c>
      <c r="G21" s="163" t="s">
        <v>192</v>
      </c>
      <c r="H21" s="163" t="s">
        <v>193</v>
      </c>
      <c r="I21" s="92" t="s">
        <v>25</v>
      </c>
      <c r="J21" s="92"/>
      <c r="K21" s="26"/>
      <c r="L21" s="26"/>
      <c r="M21" s="26"/>
      <c r="N21" s="26"/>
      <c r="O21" s="26"/>
      <c r="P21" s="26"/>
      <c r="Q21" s="26"/>
      <c r="R21" s="26"/>
      <c r="S21" s="26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31">
        <f t="shared" si="1"/>
        <v>0</v>
      </c>
      <c r="AQ21" s="164" t="s">
        <v>43</v>
      </c>
    </row>
    <row r="22">
      <c r="A22" s="162"/>
      <c r="B22" s="8" t="s">
        <v>123</v>
      </c>
      <c r="C22" s="88" t="s">
        <v>44</v>
      </c>
      <c r="D22" s="89" t="s">
        <v>33</v>
      </c>
      <c r="E22" s="90">
        <v>46253.0</v>
      </c>
      <c r="F22" s="96" t="s">
        <v>124</v>
      </c>
      <c r="G22" s="163" t="s">
        <v>192</v>
      </c>
      <c r="H22" s="163" t="s">
        <v>193</v>
      </c>
      <c r="I22" s="92" t="s">
        <v>30</v>
      </c>
      <c r="J22" s="92"/>
      <c r="K22" s="26"/>
      <c r="L22" s="26"/>
      <c r="M22" s="26"/>
      <c r="N22" s="26"/>
      <c r="O22" s="26"/>
      <c r="P22" s="26"/>
      <c r="Q22" s="26"/>
      <c r="R22" s="26"/>
      <c r="S22" s="26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31">
        <f t="shared" si="1"/>
        <v>0</v>
      </c>
      <c r="AQ22" s="164" t="s">
        <v>43</v>
      </c>
    </row>
    <row r="23">
      <c r="A23" s="154"/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  <c r="AA23" s="154"/>
      <c r="AB23" s="154"/>
      <c r="AC23" s="154"/>
      <c r="AD23" s="154"/>
      <c r="AE23" s="154"/>
      <c r="AF23" s="154"/>
      <c r="AG23" s="154"/>
      <c r="AH23" s="154"/>
      <c r="AI23" s="154"/>
      <c r="AJ23" s="154"/>
      <c r="AK23" s="154"/>
      <c r="AL23" s="154"/>
      <c r="AM23" s="154"/>
      <c r="AN23" s="154"/>
      <c r="AO23" s="154"/>
      <c r="AP23" s="154"/>
      <c r="AQ23" s="154"/>
    </row>
    <row r="24">
      <c r="A24" s="154"/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54"/>
      <c r="AD24" s="154"/>
      <c r="AE24" s="154"/>
      <c r="AF24" s="154"/>
      <c r="AG24" s="154"/>
      <c r="AH24" s="154"/>
      <c r="AI24" s="154"/>
      <c r="AJ24" s="154"/>
      <c r="AK24" s="154"/>
      <c r="AL24" s="154"/>
      <c r="AM24" s="154"/>
      <c r="AN24" s="154"/>
      <c r="AO24" s="154"/>
      <c r="AP24" s="154"/>
      <c r="AQ24" s="154"/>
    </row>
  </sheetData>
  <dataValidations>
    <dataValidation type="list" allowBlank="1" showErrorMessage="1" sqref="I2:I22">
      <formula1>"1X/SEMANA,2X/SEMANA,3X/SEMANA,4X/SEMANA,5X/SEMANA,6X/SEMANA,1X/DIA ,2X/DIA,3X/DIA,4X/DIA,1X/MÊS,2X/MÊS ,BIMESTRAL,TRIMESTRAL,PONTUAL,AVALIAÇÃO"</formula1>
    </dataValidation>
    <dataValidation type="list" allowBlank="1" showErrorMessage="1" sqref="C2:C22">
      <formula1>"ECONOMUS,CABESP,ALICE SAÚDE,VIVEST,PORTO SEGURO,CARE PLUS,OMINT,UNIMED SEGUROS,PETROBRAS,PARTICULAR,ITAUSEG"</formula1>
    </dataValidation>
    <dataValidation type="list" allowBlank="1" showErrorMessage="1" sqref="D2:D22">
      <formula1>"NOVO PACIENTE,READMISSÃO,TROCA,INTENSIFICAÇÃO,DESMAME,COBERTURA,REVEZAMENTO"</formula1>
    </dataValidation>
    <dataValidation type="list" allowBlank="1" showErrorMessage="1" sqref="J2:J22">
      <formula1>"OK"</formula1>
    </dataValidation>
  </dataValidations>
  <drawing r:id="rId2"/>
  <legacyDrawing r:id="rId3"/>
</worksheet>
</file>