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EZEMBRO25" sheetId="1" r:id="rId5"/>
    <sheet state="hidden" name="JANEIRO26" sheetId="2" r:id="rId6"/>
    <sheet state="hidden" name="FEVEREIRO26" sheetId="3" r:id="rId7"/>
    <sheet state="hidden" name="MARÇO26" sheetId="4" r:id="rId8"/>
    <sheet state="hidden" name="ABRIL26" sheetId="5" r:id="rId9"/>
    <sheet state="hidden" name="MAIO26" sheetId="6" r:id="rId10"/>
    <sheet state="hidden" name="JUNHO26" sheetId="7" r:id="rId11"/>
    <sheet state="hidden" name="JULHO26" sheetId="8" r:id="rId12"/>
    <sheet state="visible" name="AGOSTO26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não teve visita em junho. nutri falou que pediram para suspender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">
      <text>
        <t xml:space="preserve">Desmame para 1x/mês em 19/07/2026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4">
      <text>
        <t xml:space="preserve">Passado para a troca em 07/07/2026</t>
      </text>
    </comment>
    <comment authorId="0" ref="I2">
      <text>
        <t xml:space="preserve">Desmame para 1x/mês em 19/07/2026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enviar dia 03</t>
      </text>
    </comment>
    <comment authorId="0" ref="B3">
      <text>
        <t xml:space="preserve">enviar dia 03</t>
      </text>
    </comment>
  </commentList>
</comments>
</file>

<file path=xl/sharedStrings.xml><?xml version="1.0" encoding="utf-8"?>
<sst xmlns="http://schemas.openxmlformats.org/spreadsheetml/2006/main" count="224" uniqueCount="54">
  <si>
    <t>STATUS</t>
  </si>
  <si>
    <t>PACIENTES</t>
  </si>
  <si>
    <t>CONVÊNIO</t>
  </si>
  <si>
    <t>MOTIVO</t>
  </si>
  <si>
    <t>DATA</t>
  </si>
  <si>
    <t xml:space="preserve">CIDADE </t>
  </si>
  <si>
    <t>PROFISSIONAIS</t>
  </si>
  <si>
    <t>TELEFONE</t>
  </si>
  <si>
    <t>PAD</t>
  </si>
  <si>
    <t>TOTAL</t>
  </si>
  <si>
    <t>INTERNAÇÃO</t>
  </si>
  <si>
    <t>ISAURA DE MORAES LEONEL FERREIRA</t>
  </si>
  <si>
    <t xml:space="preserve">PENDENCIA </t>
  </si>
  <si>
    <t>ECONOMUS</t>
  </si>
  <si>
    <t>NOVO PACIENTE</t>
  </si>
  <si>
    <t>ÓBITO</t>
  </si>
  <si>
    <t>ITAPETININGA</t>
  </si>
  <si>
    <t>Aline Cristina Dias Carmo</t>
  </si>
  <si>
    <t>15 99151-7691</t>
  </si>
  <si>
    <t>1X/MÊS</t>
  </si>
  <si>
    <t>ALTA TOTAL</t>
  </si>
  <si>
    <t xml:space="preserve">      </t>
  </si>
  <si>
    <t>DALVA BARBOSA LOPES</t>
  </si>
  <si>
    <t>RIBEIRÃO PRETO</t>
  </si>
  <si>
    <t>Lincoln Viana Rodrigues</t>
  </si>
  <si>
    <t>16 99114-0096</t>
  </si>
  <si>
    <t>CLAUDETTE HAAKE MULLER</t>
  </si>
  <si>
    <t>OMINT</t>
  </si>
  <si>
    <t xml:space="preserve"> STATUS </t>
  </si>
  <si>
    <t>ITU</t>
  </si>
  <si>
    <t>Valéria Gravana dos Santos</t>
  </si>
  <si>
    <t>19 99269-3333</t>
  </si>
  <si>
    <t>COBERTURA</t>
  </si>
  <si>
    <t xml:space="preserve">2X/MÊS </t>
  </si>
  <si>
    <t>Ana carolina barbosa</t>
  </si>
  <si>
    <t>16 98139-7562</t>
  </si>
  <si>
    <t>ALTA</t>
  </si>
  <si>
    <t>ok</t>
  </si>
  <si>
    <t>enviar dia 03</t>
  </si>
  <si>
    <t>PENDENCIA</t>
  </si>
  <si>
    <t>READMISSÃO</t>
  </si>
  <si>
    <t>SÃO PAULO</t>
  </si>
  <si>
    <t>Jacyara Fioravante Goes</t>
  </si>
  <si>
    <t>16 98832-4660</t>
  </si>
  <si>
    <t>DESMAME</t>
  </si>
  <si>
    <t>FP</t>
  </si>
  <si>
    <t>OK</t>
  </si>
  <si>
    <t>ñ</t>
  </si>
  <si>
    <t>TROCA</t>
  </si>
  <si>
    <t>Mariana de Souza Pallandri Riul </t>
  </si>
  <si>
    <t>16 98808-8483</t>
  </si>
  <si>
    <t>Stephane de Bonifácio </t>
  </si>
  <si>
    <t>16 99175-6624</t>
  </si>
  <si>
    <t>aguardando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</si>
</sst>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4">
    <font>
      <sz val="10.0"/>
      <color rgb="FF000000"/>
      <name val="Arial"/>
      <scheme val="minor"/>
    </font>
    <font>
      <b/>
      <sz val="13.0"/>
      <color rgb="FFFFFFFF"/>
      <name val="Calibri"/>
    </font>
    <font>
      <b/>
      <sz val="10.0"/>
      <color theme="1"/>
      <name val="Calibri"/>
    </font>
    <font>
      <color theme="1"/>
      <name val="Arial"/>
    </font>
    <font>
      <b/>
      <sz val="11.0"/>
      <color theme="1"/>
      <name val="Calibri"/>
    </font>
    <font>
      <b/>
      <color theme="1"/>
      <name val="Calibri"/>
    </font>
    <font>
      <sz val="11.0"/>
      <color theme="1"/>
      <name val="Calibri"/>
    </font>
    <font>
      <b/>
      <color rgb="FFFFFF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b/>
      <sz val="12.0"/>
      <color rgb="FFFFFFFF"/>
      <name val="Calibri"/>
    </font>
    <font>
      <b/>
      <sz val="11.0"/>
      <color rgb="FFFFFFFF"/>
      <name val="Calibri"/>
    </font>
    <font>
      <b/>
      <color rgb="FFFFFFFF"/>
      <name val="Arial"/>
    </font>
    <font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339966"/>
        <bgColor rgb="FF339966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9900FF"/>
        <bgColor rgb="FF9900FF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1" fillId="2" fontId="1" numFmtId="0" xfId="0" applyAlignment="1" applyBorder="1" applyFont="1">
      <alignment horizontal="center" vertical="bottom"/>
    </xf>
    <xf borderId="1" fillId="3" fontId="2" numFmtId="0" xfId="0" applyAlignment="1" applyBorder="1" applyFill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49" xfId="0" applyAlignment="1" applyFont="1" applyNumberFormat="1">
      <alignment vertical="bottom"/>
    </xf>
    <xf borderId="1" fillId="3" fontId="4" numFmtId="0" xfId="0" applyAlignment="1" applyBorder="1" applyFont="1">
      <alignment horizontal="center" vertical="bottom"/>
    </xf>
    <xf borderId="1" fillId="4" fontId="4" numFmtId="0" xfId="0" applyAlignment="1" applyBorder="1" applyFill="1" applyFont="1">
      <alignment horizontal="center" readingOrder="0" vertical="bottom"/>
    </xf>
    <xf borderId="1" fillId="5" fontId="5" numFmtId="49" xfId="0" applyAlignment="1" applyBorder="1" applyFill="1" applyFont="1" applyNumberFormat="1">
      <alignment horizontal="center" vertical="bottom"/>
    </xf>
    <xf borderId="1" fillId="0" fontId="6" numFmtId="49" xfId="0" applyAlignment="1" applyBorder="1" applyFont="1" applyNumberFormat="1">
      <alignment horizontal="center" readingOrder="0" vertical="bottom"/>
    </xf>
    <xf borderId="2" fillId="0" fontId="2" numFmtId="49" xfId="0" applyAlignment="1" applyBorder="1" applyFont="1" applyNumberFormat="1">
      <alignment horizontal="center" readingOrder="0" vertical="bottom"/>
    </xf>
    <xf borderId="1" fillId="6" fontId="7" numFmtId="0" xfId="0" applyAlignment="1" applyBorder="1" applyFill="1" applyFont="1">
      <alignment horizontal="center" vertical="bottom"/>
    </xf>
    <xf borderId="1" fillId="0" fontId="6" numFmtId="164" xfId="0" applyAlignment="1" applyBorder="1" applyFont="1" applyNumberFormat="1">
      <alignment horizontal="center" readingOrder="0" vertical="bottom"/>
    </xf>
    <xf borderId="1" fillId="0" fontId="6" numFmtId="0" xfId="0" applyAlignment="1" applyBorder="1" applyFont="1">
      <alignment horizontal="center" readingOrder="0" vertical="bottom"/>
    </xf>
    <xf borderId="2" fillId="0" fontId="6" numFmtId="49" xfId="0" applyAlignment="1" applyBorder="1" applyFont="1" applyNumberFormat="1">
      <alignment horizontal="center" readingOrder="0" vertical="bottom"/>
    </xf>
    <xf borderId="3" fillId="4" fontId="5" numFmtId="49" xfId="0" applyAlignment="1" applyBorder="1" applyFont="1" applyNumberFormat="1">
      <alignment horizontal="center" vertical="bottom"/>
    </xf>
    <xf borderId="1" fillId="0" fontId="6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vertical="bottom"/>
    </xf>
    <xf borderId="2" fillId="0" fontId="5" numFmtId="49" xfId="0" applyAlignment="1" applyBorder="1" applyFont="1" applyNumberFormat="1">
      <alignment horizontal="center" readingOrder="0" vertical="bottom"/>
    </xf>
    <xf borderId="1" fillId="0" fontId="3" numFmtId="164" xfId="0" applyAlignment="1" applyBorder="1" applyFont="1" applyNumberFormat="1">
      <alignment horizontal="center" readingOrder="0" vertical="bottom"/>
    </xf>
    <xf borderId="1" fillId="7" fontId="8" numFmtId="0" xfId="0" applyAlignment="1" applyBorder="1" applyFill="1" applyFont="1">
      <alignment horizontal="center" readingOrder="0" vertical="bottom"/>
    </xf>
    <xf borderId="1" fillId="0" fontId="9" numFmtId="49" xfId="0" applyAlignment="1" applyBorder="1" applyFont="1" applyNumberFormat="1">
      <alignment horizontal="center" readingOrder="0" vertical="bottom"/>
    </xf>
    <xf borderId="0" fillId="2" fontId="10" numFmtId="0" xfId="0" applyAlignment="1" applyFont="1">
      <alignment horizontal="center" readingOrder="0" vertical="bottom"/>
    </xf>
    <xf borderId="2" fillId="7" fontId="4" numFmtId="49" xfId="0" applyAlignment="1" applyBorder="1" applyFont="1" applyNumberFormat="1">
      <alignment horizontal="center" readingOrder="0" vertical="bottom"/>
    </xf>
    <xf borderId="1" fillId="2" fontId="10" numFmtId="0" xfId="0" applyAlignment="1" applyBorder="1" applyFont="1">
      <alignment horizontal="center" vertical="bottom"/>
    </xf>
    <xf borderId="1" fillId="7" fontId="6" numFmtId="164" xfId="0" applyAlignment="1" applyBorder="1" applyFont="1" applyNumberFormat="1">
      <alignment horizontal="center" readingOrder="0" vertical="bottom"/>
    </xf>
    <xf borderId="1" fillId="7" fontId="6" numFmtId="0" xfId="0" applyAlignment="1" applyBorder="1" applyFont="1">
      <alignment horizontal="center" readingOrder="0" vertical="bottom"/>
    </xf>
    <xf borderId="2" fillId="7" fontId="6" numFmtId="49" xfId="0" applyAlignment="1" applyBorder="1" applyFont="1" applyNumberFormat="1">
      <alignment horizontal="center" readingOrder="0" vertical="bottom"/>
    </xf>
    <xf borderId="1" fillId="0" fontId="3" numFmtId="0" xfId="0" applyAlignment="1" applyBorder="1" applyFont="1">
      <alignment readingOrder="0" vertical="bottom"/>
    </xf>
    <xf borderId="1" fillId="7" fontId="6" numFmtId="0" xfId="0" applyAlignment="1" applyBorder="1" applyFont="1">
      <alignment vertical="bottom"/>
    </xf>
    <xf borderId="1" fillId="7" fontId="6" numFmtId="0" xfId="0" applyAlignment="1" applyBorder="1" applyFont="1">
      <alignment readingOrder="0" vertical="bottom"/>
    </xf>
    <xf borderId="0" fillId="2" fontId="10" numFmtId="0" xfId="0" applyAlignment="1" applyFont="1">
      <alignment horizontal="center" vertical="bottom"/>
    </xf>
    <xf borderId="1" fillId="7" fontId="6" numFmtId="0" xfId="0" applyAlignment="1" applyBorder="1" applyFont="1">
      <alignment horizontal="center" vertical="bottom"/>
    </xf>
    <xf borderId="1" fillId="4" fontId="2" numFmtId="49" xfId="0" applyAlignment="1" applyBorder="1" applyFont="1" applyNumberFormat="1">
      <alignment horizontal="center" vertical="bottom"/>
    </xf>
    <xf borderId="1" fillId="6" fontId="11" numFmtId="0" xfId="0" applyAlignment="1" applyBorder="1" applyFont="1">
      <alignment horizontal="center" vertical="bottom"/>
    </xf>
    <xf borderId="1" fillId="3" fontId="12" numFmtId="0" xfId="0" applyAlignment="1" applyBorder="1" applyFont="1">
      <alignment horizontal="center" readingOrder="0" vertical="bottom"/>
    </xf>
    <xf borderId="0" fillId="0" fontId="3" numFmtId="0" xfId="0" applyAlignment="1" applyFont="1">
      <alignment readingOrder="0" vertical="bottom"/>
    </xf>
    <xf borderId="1" fillId="3" fontId="3" numFmtId="0" xfId="0" applyAlignment="1" applyBorder="1" applyFont="1">
      <alignment vertical="bottom"/>
    </xf>
    <xf borderId="3" fillId="5" fontId="5" numFmtId="49" xfId="0" applyAlignment="1" applyBorder="1" applyFont="1" applyNumberFormat="1">
      <alignment horizontal="center" readingOrder="0" vertical="bottom"/>
    </xf>
    <xf borderId="1" fillId="0" fontId="6" numFmtId="49" xfId="0" applyAlignment="1" applyBorder="1" applyFont="1" applyNumberFormat="1">
      <alignment horizontal="center" vertical="bottom"/>
    </xf>
    <xf borderId="1" fillId="5" fontId="6" numFmtId="0" xfId="0" applyAlignment="1" applyBorder="1" applyFont="1">
      <alignment horizontal="center" readingOrder="0" vertical="bottom"/>
    </xf>
    <xf borderId="1" fillId="7" fontId="4" numFmtId="0" xfId="0" applyAlignment="1" applyBorder="1" applyFont="1">
      <alignment horizontal="center" vertical="bottom"/>
    </xf>
    <xf borderId="1" fillId="3" fontId="2" numFmtId="49" xfId="0" applyAlignment="1" applyBorder="1" applyFont="1" applyNumberFormat="1">
      <alignment horizontal="center" vertical="bottom"/>
    </xf>
    <xf borderId="1" fillId="7" fontId="4" numFmtId="0" xfId="0" applyAlignment="1" applyBorder="1" applyFont="1">
      <alignment horizontal="center" readingOrder="0" vertical="bottom"/>
    </xf>
    <xf borderId="1" fillId="6" fontId="2" numFmtId="49" xfId="0" applyAlignment="1" applyBorder="1" applyFont="1" applyNumberFormat="1">
      <alignment horizontal="center" vertical="bottom"/>
    </xf>
    <xf borderId="4" fillId="5" fontId="2" numFmtId="49" xfId="0" applyAlignment="1" applyBorder="1" applyFont="1" applyNumberFormat="1">
      <alignment horizontal="center" vertical="bottom"/>
    </xf>
    <xf borderId="1" fillId="0" fontId="6" numFmtId="0" xfId="0" applyAlignment="1" applyBorder="1" applyFont="1">
      <alignment horizontal="center" readingOrder="0"/>
    </xf>
    <xf borderId="1" fillId="0" fontId="6" numFmtId="164" xfId="0" applyAlignment="1" applyBorder="1" applyFont="1" applyNumberFormat="1">
      <alignment horizontal="center" readingOrder="0"/>
    </xf>
    <xf borderId="1" fillId="0" fontId="6" numFmtId="0" xfId="0" applyAlignment="1" applyBorder="1" applyFont="1">
      <alignment horizontal="center"/>
    </xf>
    <xf borderId="0" fillId="0" fontId="6" numFmtId="0" xfId="0" applyAlignment="1" applyFont="1">
      <alignment horizontal="center" readingOrder="0"/>
    </xf>
    <xf borderId="0" fillId="0" fontId="13" numFmtId="0" xfId="0" applyFont="1"/>
    <xf borderId="0" fillId="0" fontId="13" numFmtId="0" xfId="0" applyAlignment="1" applyFont="1">
      <alignment horizontal="center"/>
    </xf>
    <xf borderId="1" fillId="5" fontId="2" numFmtId="49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3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40.5"/>
    <col customWidth="1" min="3" max="3" width="15.38"/>
    <col customWidth="1" min="4" max="4" width="14.38"/>
    <col customWidth="1" min="6" max="6" width="16.0"/>
    <col customWidth="1" min="7" max="7" width="22.0"/>
    <col customWidth="1" min="8" max="8" width="15.13"/>
    <col customWidth="1" min="10" max="40" width="3.38"/>
    <col customWidth="1" min="41" max="41" width="9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9</v>
      </c>
    </row>
    <row r="2">
      <c r="A2" s="6" t="s">
        <v>10</v>
      </c>
      <c r="B2" s="7" t="s">
        <v>11</v>
      </c>
      <c r="C2" s="9" t="s">
        <v>13</v>
      </c>
      <c r="D2" s="10" t="s">
        <v>14</v>
      </c>
      <c r="E2" s="12">
        <v>45996.0</v>
      </c>
      <c r="F2" s="13" t="s">
        <v>16</v>
      </c>
      <c r="G2" s="13" t="s">
        <v>17</v>
      </c>
      <c r="H2" s="13" t="s">
        <v>18</v>
      </c>
      <c r="I2" s="14" t="s">
        <v>19</v>
      </c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7"/>
      <c r="AG2" s="7"/>
      <c r="AH2" s="7"/>
      <c r="AI2" s="7"/>
      <c r="AJ2" s="7"/>
      <c r="AK2" s="7"/>
      <c r="AL2" s="7"/>
      <c r="AM2" s="7"/>
      <c r="AN2" s="7"/>
      <c r="AO2" s="17">
        <v>0.0</v>
      </c>
    </row>
    <row r="3">
      <c r="A3" s="8" t="s">
        <v>12</v>
      </c>
      <c r="B3" s="4"/>
      <c r="C3" s="5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>
      <c r="A4" s="11" t="s">
        <v>15</v>
      </c>
      <c r="B4" s="4"/>
      <c r="C4" s="5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>
      <c r="A5" s="15" t="s">
        <v>20</v>
      </c>
      <c r="B5" s="4"/>
      <c r="C5" s="5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</row>
  </sheetData>
  <dataValidations>
    <dataValidation type="list" allowBlank="1" showErrorMessage="1" sqref="C2">
      <formula1>"ECONOMUS"</formula1>
    </dataValidation>
    <dataValidation type="list" allowBlank="1" showErrorMessage="1" sqref="I2">
      <formula1>"1X/SEMANA,2X/SEMANA,3X/SEMANA,4X/SEMANA,5X/SEMANA,6X/SEMANA,1X/DIA ,2X/DIA,3X/DIA,4X/DIA,1X/MÊS,2X/MÊS ,BIMESTRAL,TRIMESTRAL,PONTUAL,AVALIAÇÃO"</formula1>
    </dataValidation>
    <dataValidation type="list" allowBlank="1" showErrorMessage="1" sqref="D2">
      <formula1>"NOVO PACIENTE,READMISSÃO,TROCA,INTENSIFICAÇÃO,DESMAME,COBERTURA,REVEZAMENTO"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5394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40.5"/>
    <col customWidth="1" min="3" max="3" width="15.38"/>
    <col customWidth="1" min="4" max="4" width="14.38"/>
    <col customWidth="1" min="6" max="6" width="16.0"/>
    <col customWidth="1" min="7" max="7" width="22.0"/>
    <col customWidth="1" min="8" max="8" width="15.13"/>
    <col customWidth="1" min="10" max="40" width="3.38"/>
    <col customWidth="1" min="41" max="41" width="9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9</v>
      </c>
    </row>
    <row r="2">
      <c r="A2" s="3" t="s">
        <v>10</v>
      </c>
      <c r="B2" s="4"/>
      <c r="C2" s="5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</row>
    <row r="3">
      <c r="A3" s="8" t="s">
        <v>12</v>
      </c>
      <c r="B3" s="4"/>
      <c r="C3" s="5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>
      <c r="A4" s="11" t="s">
        <v>15</v>
      </c>
      <c r="B4" s="4"/>
      <c r="C4" s="5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>
      <c r="A5" s="15" t="s">
        <v>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5394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40.5"/>
    <col customWidth="1" min="3" max="3" width="15.38"/>
    <col customWidth="1" min="4" max="4" width="14.38"/>
    <col customWidth="1" min="6" max="6" width="16.0"/>
    <col customWidth="1" min="7" max="7" width="22.0"/>
    <col customWidth="1" min="8" max="8" width="15.13"/>
    <col customWidth="1" min="10" max="40" width="3.38"/>
    <col customWidth="1" min="41" max="41" width="9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9</v>
      </c>
    </row>
    <row r="2">
      <c r="A2" s="3" t="s">
        <v>10</v>
      </c>
      <c r="B2" s="4"/>
      <c r="C2" s="5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</row>
    <row r="3">
      <c r="A3" s="8" t="s">
        <v>12</v>
      </c>
      <c r="B3" s="4"/>
      <c r="C3" s="5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>
      <c r="A4" s="11" t="s">
        <v>15</v>
      </c>
      <c r="B4" s="4"/>
      <c r="C4" s="5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>
      <c r="A5" s="15" t="s">
        <v>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5394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40.5"/>
    <col customWidth="1" min="3" max="3" width="15.38"/>
    <col customWidth="1" min="4" max="4" width="14.38"/>
    <col customWidth="1" min="6" max="6" width="16.0"/>
    <col customWidth="1" min="7" max="7" width="22.0"/>
    <col customWidth="1" min="8" max="8" width="15.13"/>
    <col customWidth="1" min="10" max="40" width="3.38"/>
    <col customWidth="1" min="41" max="41" width="9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9</v>
      </c>
    </row>
    <row r="2">
      <c r="A2" s="3" t="s">
        <v>10</v>
      </c>
      <c r="B2" s="4"/>
      <c r="C2" s="5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</row>
    <row r="3">
      <c r="A3" s="8" t="s">
        <v>12</v>
      </c>
      <c r="B3" s="4"/>
      <c r="C3" s="5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>
      <c r="A4" s="11" t="s">
        <v>15</v>
      </c>
      <c r="B4" s="4"/>
      <c r="C4" s="5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>
      <c r="A5" s="15" t="s">
        <v>20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5394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40.5"/>
    <col customWidth="1" min="3" max="3" width="15.38"/>
    <col customWidth="1" min="4" max="4" width="17.75"/>
    <col customWidth="1" min="6" max="6" width="18.25"/>
    <col customWidth="1" min="7" max="7" width="22.0"/>
    <col customWidth="1" min="8" max="8" width="15.13"/>
    <col customWidth="1" min="9" max="9" width="15.63"/>
    <col customWidth="1" min="10" max="40" width="3.38"/>
    <col customWidth="1" min="41" max="41" width="9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9</v>
      </c>
    </row>
    <row r="2">
      <c r="A2" s="3" t="s">
        <v>10</v>
      </c>
      <c r="B2" s="18" t="s">
        <v>22</v>
      </c>
      <c r="C2" s="19"/>
      <c r="D2" s="20" t="s">
        <v>14</v>
      </c>
      <c r="E2" s="21">
        <v>46132.0</v>
      </c>
      <c r="F2" s="18" t="s">
        <v>23</v>
      </c>
      <c r="G2" s="18" t="s">
        <v>24</v>
      </c>
      <c r="H2" s="18" t="s">
        <v>25</v>
      </c>
      <c r="I2" s="14" t="s">
        <v>19</v>
      </c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</row>
    <row r="3">
      <c r="A3" s="8" t="s">
        <v>12</v>
      </c>
      <c r="B3" s="18" t="s">
        <v>22</v>
      </c>
      <c r="C3" s="19"/>
      <c r="D3" s="20" t="s">
        <v>32</v>
      </c>
      <c r="E3" s="21">
        <v>46132.0</v>
      </c>
      <c r="F3" s="18" t="s">
        <v>23</v>
      </c>
      <c r="G3" s="18" t="s">
        <v>34</v>
      </c>
      <c r="H3" s="18" t="s">
        <v>35</v>
      </c>
      <c r="I3" s="14" t="s">
        <v>19</v>
      </c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30">
        <v>1.0</v>
      </c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</row>
    <row r="4">
      <c r="A4" s="11" t="s">
        <v>15</v>
      </c>
      <c r="B4" s="4"/>
      <c r="C4" s="5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>
      <c r="A5" s="15" t="s">
        <v>20</v>
      </c>
    </row>
  </sheetData>
  <dataValidations>
    <dataValidation type="list" allowBlank="1" showErrorMessage="1" sqref="I2:I3">
      <formula1>"1X/SEMANA,2X/SEMANA,3X/SEMANA,4X/SEMANA,5X/SEMANA,6X/SEMANA,1X/DIA ,2X/DIA,3X/DIA,4X/DIA,1X/MÊS,2X/MÊS ,BIMESTRAL,TRIMESTRAL,PONTUAL,AVALIAÇÃO"</formula1>
    </dataValidation>
    <dataValidation type="list" allowBlank="1" showErrorMessage="1" sqref="D2:D3">
      <formula1>"NOVO PACIENTE,READMISSÃO,TROCA,INTENSIFICAÇÃO,DESMAME,COBERTURA,REVEZAMENTO"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5394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40.5"/>
    <col customWidth="1" min="3" max="3" width="15.38"/>
    <col customWidth="1" min="4" max="4" width="17.75"/>
    <col customWidth="1" min="6" max="6" width="18.25"/>
    <col customWidth="1" min="7" max="7" width="22.0"/>
    <col customWidth="1" min="8" max="8" width="15.13"/>
    <col customWidth="1" min="9" max="9" width="15.63"/>
    <col customWidth="1" min="10" max="40" width="3.38"/>
    <col customWidth="1" min="41" max="41" width="9.5"/>
  </cols>
  <sheetData>
    <row r="1">
      <c r="A1" s="1" t="s">
        <v>21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9</v>
      </c>
    </row>
    <row r="2">
      <c r="A2" s="3" t="s">
        <v>10</v>
      </c>
      <c r="B2" s="18" t="s">
        <v>22</v>
      </c>
      <c r="C2" s="19"/>
      <c r="D2" s="20"/>
      <c r="E2" s="21"/>
      <c r="F2" s="18" t="s">
        <v>23</v>
      </c>
      <c r="G2" s="18" t="s">
        <v>24</v>
      </c>
      <c r="H2" s="18" t="s">
        <v>25</v>
      </c>
      <c r="I2" s="14" t="s">
        <v>19</v>
      </c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30">
        <v>1.0</v>
      </c>
      <c r="AF2" s="19"/>
      <c r="AG2" s="19"/>
      <c r="AH2" s="19"/>
      <c r="AI2" s="19"/>
      <c r="AJ2" s="19"/>
      <c r="AK2" s="19"/>
      <c r="AL2" s="19"/>
      <c r="AM2" s="19"/>
      <c r="AN2" s="19"/>
      <c r="AO2" s="19">
        <f>SUM(J2:AN2)</f>
        <v>1</v>
      </c>
    </row>
    <row r="3">
      <c r="A3" s="11" t="s">
        <v>15</v>
      </c>
      <c r="B3" s="4"/>
      <c r="C3" s="5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38" t="s">
        <v>37</v>
      </c>
    </row>
    <row r="4">
      <c r="A4" s="15" t="s">
        <v>20</v>
      </c>
    </row>
    <row r="5">
      <c r="A5" s="40" t="s">
        <v>39</v>
      </c>
    </row>
  </sheetData>
  <dataValidations>
    <dataValidation type="list" allowBlank="1" showErrorMessage="1" sqref="I2">
      <formula1>"1X/SEMANA,2X/SEMANA,3X/SEMANA,4X/SEMANA,5X/SEMANA,6X/SEMANA,1X/DIA ,2X/DIA,3X/DIA,4X/DIA,1X/MÊS,2X/MÊS ,BIMESTRAL,TRIMESTRAL,PONTUAL,AVALIAÇÃO"</formula1>
    </dataValidation>
    <dataValidation type="list" allowBlank="1" showErrorMessage="1" sqref="D2">
      <formula1>"NOVO PACIENTE,READMISSÃO,TROCA,INTENSIFICAÇÃO,DESMAME,COBERTURA,REVEZAMENTO"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5394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1.25"/>
    <col customWidth="1" min="2" max="2" width="40.5"/>
    <col customWidth="1" min="3" max="3" width="15.38"/>
    <col customWidth="1" min="4" max="4" width="17.75"/>
    <col customWidth="1" min="6" max="6" width="18.25"/>
    <col customWidth="1" min="7" max="7" width="22.0"/>
    <col customWidth="1" min="8" max="8" width="15.13"/>
    <col customWidth="1" min="9" max="9" width="15.63"/>
    <col customWidth="1" min="10" max="40" width="3.38"/>
    <col customWidth="1" min="41" max="41" width="9.5"/>
  </cols>
  <sheetData>
    <row r="1">
      <c r="A1" s="1" t="s">
        <v>21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9</v>
      </c>
    </row>
    <row r="2">
      <c r="A2" s="3" t="s">
        <v>10</v>
      </c>
      <c r="B2" s="22" t="s">
        <v>26</v>
      </c>
      <c r="C2" s="23" t="s">
        <v>27</v>
      </c>
      <c r="D2" s="25" t="s">
        <v>14</v>
      </c>
      <c r="E2" s="27">
        <v>46195.0</v>
      </c>
      <c r="F2" s="28" t="s">
        <v>29</v>
      </c>
      <c r="G2" s="28" t="s">
        <v>30</v>
      </c>
      <c r="H2" s="28" t="s">
        <v>31</v>
      </c>
      <c r="I2" s="29" t="s">
        <v>33</v>
      </c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2">
        <v>1.0</v>
      </c>
      <c r="AG2" s="31"/>
      <c r="AH2" s="31"/>
      <c r="AI2" s="31"/>
      <c r="AJ2" s="31"/>
      <c r="AK2" s="31"/>
      <c r="AL2" s="31"/>
      <c r="AM2" s="31"/>
      <c r="AN2" s="31"/>
      <c r="AO2" s="34">
        <f t="shared" ref="AO2:AO4" si="1">SUM(J2:AN2)</f>
        <v>1</v>
      </c>
    </row>
    <row r="3">
      <c r="A3" s="36" t="s">
        <v>15</v>
      </c>
      <c r="B3" s="37" t="s">
        <v>22</v>
      </c>
      <c r="C3" s="19"/>
      <c r="D3" s="20"/>
      <c r="E3" s="21"/>
      <c r="F3" s="18" t="s">
        <v>23</v>
      </c>
      <c r="G3" s="18" t="s">
        <v>24</v>
      </c>
      <c r="H3" s="18" t="s">
        <v>25</v>
      </c>
      <c r="I3" s="14" t="s">
        <v>19</v>
      </c>
      <c r="J3" s="19"/>
      <c r="K3" s="19"/>
      <c r="L3" s="1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4">
        <f t="shared" si="1"/>
        <v>0</v>
      </c>
    </row>
    <row r="4">
      <c r="A4" s="15" t="s">
        <v>20</v>
      </c>
      <c r="B4" s="13" t="s">
        <v>22</v>
      </c>
      <c r="C4" s="41"/>
      <c r="D4" s="20" t="s">
        <v>40</v>
      </c>
      <c r="E4" s="12">
        <v>46190.0</v>
      </c>
      <c r="F4" s="13" t="s">
        <v>41</v>
      </c>
      <c r="G4" s="42" t="s">
        <v>42</v>
      </c>
      <c r="H4" s="13" t="s">
        <v>43</v>
      </c>
      <c r="I4" s="14" t="s">
        <v>19</v>
      </c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34">
        <f t="shared" si="1"/>
        <v>0</v>
      </c>
    </row>
    <row r="5">
      <c r="A5" s="40" t="s">
        <v>39</v>
      </c>
    </row>
  </sheetData>
  <dataValidations>
    <dataValidation type="list" allowBlank="1" showErrorMessage="1" sqref="I2:I4">
      <formula1>"1X/SEMANA,2X/SEMANA,3X/SEMANA,4X/SEMANA,5X/SEMANA,6X/SEMANA,1X/DIA ,2X/DIA,3X/DIA,4X/DIA,1X/MÊS,2X/MÊS ,BIMESTRAL,TRIMESTRAL,PONTUAL,AVALIAÇÃO"</formula1>
    </dataValidation>
    <dataValidation type="list" allowBlank="1" showErrorMessage="1" sqref="C2">
      <formula1>"ECONOMUS,CABESP,ALICE SAÚDE,VIVEST,PORTO SEGURO,CARE PLUS,OMINT,UNIMED SEGUROS,PETROBRAS,PARTICULAR"</formula1>
    </dataValidation>
    <dataValidation type="list" allowBlank="1" showErrorMessage="1" sqref="D2:D4">
      <formula1>"NOVO PACIENTE,READMISSÃO,TROCA,INTENSIFICAÇÃO,DESMAME,COBERTURA,REVEZAMENTO"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2.63"/>
    <col customWidth="1" min="2" max="2" width="40.5"/>
    <col customWidth="1" min="3" max="3" width="15.38"/>
    <col customWidth="1" min="4" max="4" width="17.75"/>
    <col customWidth="1" min="6" max="6" width="18.25"/>
    <col customWidth="1" min="7" max="7" width="27.25"/>
    <col customWidth="1" min="8" max="8" width="15.13"/>
    <col customWidth="1" min="9" max="9" width="15.63"/>
    <col customWidth="1" min="10" max="40" width="4.63"/>
    <col customWidth="1" min="41" max="42" width="9.5"/>
  </cols>
  <sheetData>
    <row r="1">
      <c r="A1" s="24" t="s">
        <v>28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>
        <v>1.0</v>
      </c>
      <c r="K1" s="26">
        <v>2.0</v>
      </c>
      <c r="L1" s="26">
        <v>3.0</v>
      </c>
      <c r="M1" s="26">
        <v>4.0</v>
      </c>
      <c r="N1" s="26">
        <v>5.0</v>
      </c>
      <c r="O1" s="26">
        <v>6.0</v>
      </c>
      <c r="P1" s="26">
        <v>7.0</v>
      </c>
      <c r="Q1" s="26">
        <v>8.0</v>
      </c>
      <c r="R1" s="26">
        <v>9.0</v>
      </c>
      <c r="S1" s="26">
        <v>10.0</v>
      </c>
      <c r="T1" s="26">
        <v>11.0</v>
      </c>
      <c r="U1" s="26">
        <v>12.0</v>
      </c>
      <c r="V1" s="26">
        <v>13.0</v>
      </c>
      <c r="W1" s="26">
        <v>14.0</v>
      </c>
      <c r="X1" s="26">
        <v>15.0</v>
      </c>
      <c r="Y1" s="26">
        <v>16.0</v>
      </c>
      <c r="Z1" s="26">
        <v>17.0</v>
      </c>
      <c r="AA1" s="26">
        <v>18.0</v>
      </c>
      <c r="AB1" s="26">
        <v>19.0</v>
      </c>
      <c r="AC1" s="26">
        <v>20.0</v>
      </c>
      <c r="AD1" s="26">
        <v>21.0</v>
      </c>
      <c r="AE1" s="26">
        <v>22.0</v>
      </c>
      <c r="AF1" s="26">
        <v>23.0</v>
      </c>
      <c r="AG1" s="26">
        <v>24.0</v>
      </c>
      <c r="AH1" s="26">
        <v>25.0</v>
      </c>
      <c r="AI1" s="26">
        <v>26.0</v>
      </c>
      <c r="AJ1" s="26">
        <v>27.0</v>
      </c>
      <c r="AK1" s="26">
        <v>28.0</v>
      </c>
      <c r="AL1" s="26">
        <v>29.0</v>
      </c>
      <c r="AM1" s="26">
        <v>30.0</v>
      </c>
      <c r="AN1" s="26">
        <v>31.0</v>
      </c>
      <c r="AO1" s="26" t="s">
        <v>9</v>
      </c>
      <c r="AP1" s="33"/>
    </row>
    <row r="2">
      <c r="A2" s="35" t="s">
        <v>36</v>
      </c>
      <c r="B2" s="22" t="s">
        <v>26</v>
      </c>
      <c r="C2" s="23" t="s">
        <v>27</v>
      </c>
      <c r="D2" s="25"/>
      <c r="E2" s="28" t="s">
        <v>38</v>
      </c>
      <c r="F2" s="28" t="s">
        <v>29</v>
      </c>
      <c r="G2" s="28" t="s">
        <v>30</v>
      </c>
      <c r="H2" s="28" t="s">
        <v>31</v>
      </c>
      <c r="I2" s="29" t="s">
        <v>33</v>
      </c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28"/>
      <c r="AJ2" s="28"/>
      <c r="AK2" s="28"/>
      <c r="AL2" s="28"/>
      <c r="AM2" s="28"/>
      <c r="AN2" s="34"/>
      <c r="AO2" s="43">
        <f t="shared" ref="AO2:AO6" si="1">SUM(K2:AN2)</f>
        <v>0</v>
      </c>
      <c r="AP2" s="43"/>
    </row>
    <row r="3">
      <c r="A3" s="44" t="s">
        <v>10</v>
      </c>
      <c r="B3" s="22" t="s">
        <v>26</v>
      </c>
      <c r="C3" s="23" t="s">
        <v>27</v>
      </c>
      <c r="D3" s="25" t="s">
        <v>44</v>
      </c>
      <c r="E3" s="27">
        <v>46222.0</v>
      </c>
      <c r="F3" s="28" t="s">
        <v>29</v>
      </c>
      <c r="G3" s="28" t="s">
        <v>30</v>
      </c>
      <c r="H3" s="28" t="s">
        <v>31</v>
      </c>
      <c r="I3" s="29" t="s">
        <v>19</v>
      </c>
      <c r="J3" s="28" t="s">
        <v>37</v>
      </c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28">
        <v>1.0</v>
      </c>
      <c r="AL3" s="34"/>
      <c r="AM3" s="34"/>
      <c r="AN3" s="34"/>
      <c r="AO3" s="43">
        <f t="shared" si="1"/>
        <v>1</v>
      </c>
      <c r="AP3" s="45" t="s">
        <v>46</v>
      </c>
    </row>
    <row r="4">
      <c r="A4" s="46" t="s">
        <v>15</v>
      </c>
      <c r="B4" s="13" t="s">
        <v>22</v>
      </c>
      <c r="C4" s="23" t="s">
        <v>27</v>
      </c>
      <c r="D4" s="20"/>
      <c r="E4" s="13" t="s">
        <v>38</v>
      </c>
      <c r="F4" s="13" t="s">
        <v>41</v>
      </c>
      <c r="G4" s="42" t="s">
        <v>42</v>
      </c>
      <c r="H4" s="42" t="s">
        <v>43</v>
      </c>
      <c r="I4" s="14" t="s">
        <v>19</v>
      </c>
      <c r="J4" s="13" t="s">
        <v>47</v>
      </c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43">
        <f t="shared" si="1"/>
        <v>0</v>
      </c>
      <c r="AP4" s="43"/>
    </row>
    <row r="5">
      <c r="A5" s="47" t="s">
        <v>12</v>
      </c>
      <c r="B5" s="48" t="s">
        <v>22</v>
      </c>
      <c r="C5" s="23" t="s">
        <v>27</v>
      </c>
      <c r="D5" s="20" t="s">
        <v>48</v>
      </c>
      <c r="E5" s="49">
        <v>46225.0</v>
      </c>
      <c r="F5" s="48" t="s">
        <v>23</v>
      </c>
      <c r="G5" s="16" t="s">
        <v>49</v>
      </c>
      <c r="H5" s="16" t="s">
        <v>50</v>
      </c>
      <c r="I5" s="14" t="s">
        <v>19</v>
      </c>
      <c r="J5" s="48" t="s">
        <v>47</v>
      </c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43">
        <f t="shared" si="1"/>
        <v>0</v>
      </c>
      <c r="AP5" s="43"/>
    </row>
    <row r="6">
      <c r="A6" s="51" t="s">
        <v>53</v>
      </c>
      <c r="B6" s="48" t="s">
        <v>22</v>
      </c>
      <c r="C6" s="23" t="s">
        <v>27</v>
      </c>
      <c r="D6" s="20" t="s">
        <v>48</v>
      </c>
      <c r="E6" s="49">
        <v>46232.0</v>
      </c>
      <c r="F6" s="48" t="s">
        <v>23</v>
      </c>
      <c r="G6" s="16" t="s">
        <v>51</v>
      </c>
      <c r="H6" s="16" t="s">
        <v>52</v>
      </c>
      <c r="I6" s="14" t="s">
        <v>19</v>
      </c>
      <c r="J6" s="48" t="s">
        <v>37</v>
      </c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48">
        <v>1.0</v>
      </c>
      <c r="AO6" s="43">
        <f t="shared" si="1"/>
        <v>1</v>
      </c>
      <c r="AP6" s="45" t="s">
        <v>46</v>
      </c>
    </row>
    <row r="7">
      <c r="A7" s="52"/>
      <c r="B7" s="52"/>
      <c r="C7" s="52"/>
      <c r="D7" s="52"/>
      <c r="E7" s="52"/>
      <c r="F7" s="52"/>
      <c r="G7" s="52"/>
      <c r="H7" s="52"/>
      <c r="I7" s="52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2"/>
      <c r="AP7" s="52"/>
    </row>
    <row r="8">
      <c r="A8" s="52"/>
      <c r="B8" s="52"/>
      <c r="C8" s="52"/>
      <c r="D8" s="52"/>
      <c r="E8" s="52"/>
      <c r="F8" s="52"/>
      <c r="G8" s="52"/>
      <c r="H8" s="52"/>
      <c r="I8" s="52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2"/>
      <c r="AP8" s="52"/>
    </row>
    <row r="9">
      <c r="A9" s="52"/>
      <c r="B9" s="52"/>
      <c r="C9" s="52"/>
      <c r="D9" s="52"/>
      <c r="E9" s="52"/>
      <c r="F9" s="52"/>
      <c r="G9" s="52"/>
      <c r="H9" s="52"/>
      <c r="I9" s="52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2"/>
      <c r="AP9" s="52"/>
    </row>
    <row r="10">
      <c r="A10" s="52"/>
      <c r="B10" s="53"/>
      <c r="C10" s="52"/>
      <c r="D10" s="52"/>
      <c r="E10" s="52"/>
      <c r="F10" s="52"/>
      <c r="G10" s="52"/>
      <c r="H10" s="52"/>
      <c r="I10" s="52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2"/>
      <c r="AP10" s="52"/>
    </row>
    <row r="11">
      <c r="A11" s="52"/>
      <c r="B11" s="52"/>
      <c r="C11" s="52"/>
      <c r="D11" s="52"/>
      <c r="E11" s="52"/>
      <c r="F11" s="52"/>
      <c r="G11" s="52"/>
      <c r="H11" s="52"/>
      <c r="I11" s="52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2"/>
      <c r="AP11" s="52"/>
    </row>
    <row r="12">
      <c r="A12" s="52"/>
      <c r="B12" s="52"/>
      <c r="C12" s="52"/>
      <c r="D12" s="52"/>
      <c r="E12" s="52"/>
      <c r="F12" s="52"/>
      <c r="G12" s="52"/>
      <c r="H12" s="52"/>
      <c r="I12" s="52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2"/>
      <c r="AP12" s="52"/>
    </row>
    <row r="13">
      <c r="A13" s="52"/>
      <c r="B13" s="52"/>
      <c r="C13" s="52"/>
      <c r="D13" s="52"/>
      <c r="E13" s="52"/>
      <c r="F13" s="52"/>
      <c r="G13" s="52"/>
      <c r="H13" s="52"/>
      <c r="I13" s="52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2"/>
      <c r="AP13" s="52"/>
    </row>
    <row r="14">
      <c r="A14" s="52"/>
      <c r="B14" s="52"/>
      <c r="C14" s="52"/>
      <c r="D14" s="52"/>
      <c r="E14" s="52"/>
      <c r="F14" s="52"/>
      <c r="G14" s="52"/>
      <c r="H14" s="52"/>
      <c r="I14" s="52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2"/>
      <c r="AP14" s="52"/>
    </row>
  </sheetData>
  <dataValidations>
    <dataValidation type="list" allowBlank="1" showErrorMessage="1" sqref="I2:I6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6">
      <formula1>"ECONOMUS,CABESP,ALICE SAÚDE,VIVEST,PORTO SEGURO,CARE PLUS,OMINT,UNIMED SEGUROS,PETROBRAS,PARTICULAR"</formula1>
    </dataValidation>
    <dataValidation type="list" allowBlank="1" showErrorMessage="1" sqref="D2:D6">
      <formula1>"NOVO PACIENTE,READMISSÃO,TROCA,INTENSIFICAÇÃO,DESMAME,COBERTURA,REVEZAMENTO"</formula1>
    </dataValidation>
  </dataValidation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2.63"/>
    <col customWidth="1" min="2" max="2" width="42.38"/>
    <col customWidth="1" min="3" max="3" width="16.63"/>
    <col customWidth="1" min="4" max="4" width="17.75"/>
    <col customWidth="1" min="6" max="6" width="18.25"/>
    <col customWidth="1" min="7" max="7" width="27.25"/>
    <col customWidth="1" min="8" max="8" width="17.38"/>
    <col customWidth="1" min="9" max="9" width="15.63"/>
    <col customWidth="1" min="10" max="40" width="4.63"/>
    <col customWidth="1" min="41" max="42" width="9.5"/>
  </cols>
  <sheetData>
    <row r="1">
      <c r="A1" s="24" t="s">
        <v>28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>
        <v>1.0</v>
      </c>
      <c r="K1" s="26">
        <v>2.0</v>
      </c>
      <c r="L1" s="26">
        <v>3.0</v>
      </c>
      <c r="M1" s="26">
        <v>4.0</v>
      </c>
      <c r="N1" s="26">
        <v>5.0</v>
      </c>
      <c r="O1" s="26">
        <v>6.0</v>
      </c>
      <c r="P1" s="26">
        <v>7.0</v>
      </c>
      <c r="Q1" s="26">
        <v>8.0</v>
      </c>
      <c r="R1" s="26">
        <v>9.0</v>
      </c>
      <c r="S1" s="26">
        <v>10.0</v>
      </c>
      <c r="T1" s="26">
        <v>11.0</v>
      </c>
      <c r="U1" s="26">
        <v>12.0</v>
      </c>
      <c r="V1" s="26">
        <v>13.0</v>
      </c>
      <c r="W1" s="26">
        <v>14.0</v>
      </c>
      <c r="X1" s="26">
        <v>15.0</v>
      </c>
      <c r="Y1" s="26">
        <v>16.0</v>
      </c>
      <c r="Z1" s="26">
        <v>17.0</v>
      </c>
      <c r="AA1" s="26">
        <v>18.0</v>
      </c>
      <c r="AB1" s="26">
        <v>19.0</v>
      </c>
      <c r="AC1" s="26">
        <v>20.0</v>
      </c>
      <c r="AD1" s="26">
        <v>21.0</v>
      </c>
      <c r="AE1" s="26">
        <v>22.0</v>
      </c>
      <c r="AF1" s="26">
        <v>23.0</v>
      </c>
      <c r="AG1" s="26">
        <v>24.0</v>
      </c>
      <c r="AH1" s="26">
        <v>25.0</v>
      </c>
      <c r="AI1" s="26">
        <v>26.0</v>
      </c>
      <c r="AJ1" s="26">
        <v>27.0</v>
      </c>
      <c r="AK1" s="26">
        <v>28.0</v>
      </c>
      <c r="AL1" s="26">
        <v>29.0</v>
      </c>
      <c r="AM1" s="26">
        <v>30.0</v>
      </c>
      <c r="AN1" s="26">
        <v>31.0</v>
      </c>
      <c r="AO1" s="26" t="s">
        <v>9</v>
      </c>
      <c r="AP1" s="24" t="s">
        <v>45</v>
      </c>
    </row>
    <row r="2">
      <c r="A2" s="35" t="s">
        <v>36</v>
      </c>
      <c r="B2" s="22" t="s">
        <v>26</v>
      </c>
      <c r="C2" s="23" t="s">
        <v>27</v>
      </c>
      <c r="D2" s="25"/>
      <c r="E2" s="27"/>
      <c r="F2" s="28" t="s">
        <v>29</v>
      </c>
      <c r="G2" s="28" t="s">
        <v>30</v>
      </c>
      <c r="H2" s="28" t="s">
        <v>31</v>
      </c>
      <c r="I2" s="29" t="s">
        <v>19</v>
      </c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43">
        <f t="shared" ref="AO2:AO3" si="1">SUM(K2:AN2)</f>
        <v>0</v>
      </c>
      <c r="AP2" s="43"/>
    </row>
    <row r="3">
      <c r="A3" s="44" t="s">
        <v>10</v>
      </c>
      <c r="B3" s="48" t="s">
        <v>22</v>
      </c>
      <c r="C3" s="23" t="s">
        <v>27</v>
      </c>
      <c r="D3" s="20"/>
      <c r="E3" s="49"/>
      <c r="F3" s="48" t="s">
        <v>23</v>
      </c>
      <c r="G3" s="16" t="s">
        <v>51</v>
      </c>
      <c r="H3" s="16" t="s">
        <v>52</v>
      </c>
      <c r="I3" s="14" t="s">
        <v>19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48"/>
      <c r="AE3" s="48"/>
      <c r="AF3" s="48"/>
      <c r="AG3" s="48"/>
      <c r="AH3" s="50"/>
      <c r="AI3" s="50"/>
      <c r="AJ3" s="50"/>
      <c r="AK3" s="50"/>
      <c r="AL3" s="50"/>
      <c r="AM3" s="50"/>
      <c r="AN3" s="50"/>
      <c r="AO3" s="43">
        <f t="shared" si="1"/>
        <v>0</v>
      </c>
      <c r="AP3" s="43"/>
    </row>
    <row r="4">
      <c r="A4" s="46" t="s">
        <v>15</v>
      </c>
      <c r="B4" s="52"/>
      <c r="C4" s="52"/>
      <c r="D4" s="52"/>
      <c r="E4" s="52"/>
      <c r="F4" s="52"/>
      <c r="G4" s="52"/>
      <c r="H4" s="52"/>
      <c r="I4" s="52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2"/>
      <c r="AP4" s="52"/>
    </row>
    <row r="5">
      <c r="A5" s="54" t="s">
        <v>12</v>
      </c>
      <c r="B5" s="52"/>
      <c r="C5" s="52"/>
      <c r="D5" s="52"/>
      <c r="E5" s="52"/>
      <c r="F5" s="52"/>
      <c r="G5" s="52"/>
      <c r="H5" s="52"/>
      <c r="I5" s="52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2"/>
      <c r="AP5" s="52"/>
    </row>
    <row r="6">
      <c r="B6" s="52"/>
      <c r="C6" s="52"/>
      <c r="D6" s="52"/>
      <c r="E6" s="52"/>
      <c r="F6" s="52"/>
      <c r="G6" s="52"/>
      <c r="H6" s="52"/>
      <c r="I6" s="52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2"/>
      <c r="AP6" s="52"/>
    </row>
    <row r="7">
      <c r="A7" s="52"/>
      <c r="B7" s="53"/>
      <c r="C7" s="52"/>
      <c r="D7" s="52"/>
      <c r="E7" s="52"/>
      <c r="F7" s="52"/>
      <c r="G7" s="52"/>
      <c r="H7" s="52"/>
      <c r="I7" s="52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2"/>
      <c r="AP7" s="52"/>
    </row>
    <row r="8">
      <c r="A8" s="52"/>
      <c r="B8" s="52"/>
      <c r="C8" s="52"/>
      <c r="D8" s="52"/>
      <c r="E8" s="52"/>
      <c r="F8" s="52"/>
      <c r="G8" s="52"/>
      <c r="H8" s="52"/>
      <c r="I8" s="52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2"/>
      <c r="AP8" s="52"/>
    </row>
    <row r="9">
      <c r="A9" s="52"/>
      <c r="B9" s="52"/>
      <c r="C9" s="52"/>
      <c r="D9" s="52"/>
      <c r="E9" s="52"/>
      <c r="F9" s="52"/>
      <c r="G9" s="52"/>
      <c r="H9" s="52"/>
      <c r="I9" s="52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2"/>
      <c r="AP9" s="52"/>
    </row>
    <row r="10">
      <c r="A10" s="52"/>
      <c r="B10" s="52"/>
      <c r="C10" s="52"/>
      <c r="D10" s="52"/>
      <c r="E10" s="52"/>
      <c r="F10" s="52"/>
      <c r="G10" s="52"/>
      <c r="H10" s="52"/>
      <c r="I10" s="52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2"/>
      <c r="AP10" s="52"/>
    </row>
    <row r="11">
      <c r="A11" s="52"/>
      <c r="B11" s="52"/>
      <c r="C11" s="52"/>
      <c r="D11" s="52"/>
      <c r="E11" s="52"/>
      <c r="F11" s="52"/>
      <c r="G11" s="52"/>
      <c r="H11" s="52"/>
      <c r="I11" s="52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2"/>
      <c r="AP11" s="52"/>
    </row>
    <row r="12">
      <c r="A12" s="52"/>
      <c r="B12" s="52"/>
      <c r="C12" s="52"/>
      <c r="D12" s="52"/>
      <c r="E12" s="52"/>
      <c r="F12" s="52"/>
      <c r="G12" s="52"/>
      <c r="H12" s="52"/>
      <c r="I12" s="52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2"/>
      <c r="AP12" s="52"/>
    </row>
    <row r="13">
      <c r="A13" s="52"/>
      <c r="B13" s="52"/>
      <c r="C13" s="52"/>
      <c r="D13" s="52"/>
      <c r="E13" s="52"/>
      <c r="F13" s="52"/>
      <c r="G13" s="52"/>
      <c r="H13" s="52"/>
      <c r="I13" s="52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2"/>
      <c r="AP13" s="52"/>
    </row>
    <row r="14">
      <c r="A14" s="52"/>
      <c r="B14" s="52"/>
      <c r="C14" s="52"/>
      <c r="D14" s="52"/>
      <c r="E14" s="52"/>
      <c r="F14" s="52"/>
      <c r="G14" s="52"/>
      <c r="H14" s="52"/>
      <c r="I14" s="52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2"/>
      <c r="AP14" s="52"/>
    </row>
    <row r="15">
      <c r="A15" s="52"/>
      <c r="B15" s="52"/>
      <c r="C15" s="52"/>
      <c r="D15" s="52"/>
      <c r="E15" s="52"/>
      <c r="F15" s="52"/>
      <c r="G15" s="52"/>
      <c r="H15" s="52"/>
      <c r="I15" s="52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2"/>
      <c r="AP15" s="52"/>
    </row>
    <row r="16">
      <c r="A16" s="52"/>
      <c r="B16" s="52"/>
      <c r="C16" s="52"/>
      <c r="D16" s="52"/>
      <c r="E16" s="52"/>
      <c r="F16" s="52"/>
      <c r="G16" s="52"/>
      <c r="H16" s="52"/>
      <c r="I16" s="52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2"/>
      <c r="AP16" s="52"/>
    </row>
  </sheetData>
  <dataValidations>
    <dataValidation type="list" allowBlank="1" showErrorMessage="1" sqref="I2:I3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3">
      <formula1>"ECONOMUS,CABESP,ALICE SAÚDE,VIVEST,PORTO SEGURO,CARE PLUS,OMINT,UNIMED SEGUROS,PETROBRAS,PARTICULAR"</formula1>
    </dataValidation>
    <dataValidation type="list" allowBlank="1" showErrorMessage="1" sqref="D2:D3">
      <formula1>"NOVO PACIENTE,READMISSÃO,TROCA,INTENSIFICAÇÃO,DESMAME,COBERTURA,REVEZAMENTO"</formula1>
    </dataValidation>
  </dataValidations>
  <drawing r:id="rId2"/>
  <legacyDrawing r:id="rId3"/>
</worksheet>
</file>