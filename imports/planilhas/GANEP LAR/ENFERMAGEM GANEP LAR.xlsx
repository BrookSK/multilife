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25" sheetId="1" r:id="rId5"/>
    <sheet state="hidden" name="JANEIRO26" sheetId="2" r:id="rId6"/>
    <sheet state="hidden" name="FEVEREIRO26" sheetId="3" r:id="rId7"/>
    <sheet state="hidden" name="MARÇO" sheetId="4" r:id="rId8"/>
    <sheet state="hidden" name="ABRIL26" sheetId="5" r:id="rId9"/>
    <sheet state="hidden" name="MAIO26" sheetId="6" r:id="rId10"/>
    <sheet state="hidden" name="JUNHO26" sheetId="7" r:id="rId11"/>
    <sheet state="hidden" name="JULHO26" sheetId="8" r:id="rId12"/>
    <sheet state="visible" name="AGOSTO26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Durante 3 dias para treino de cuidador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Período autorizado
- 10/01/2026 a 29/01/2026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Profissional declinou em 26/06/2026</t>
      </text>
    </comment>
    <comment authorId="0" ref="G3">
      <text>
        <t xml:space="preserve">Declinou dos atendimentos.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enviar dia 03</t>
      </text>
    </comment>
    <comment authorId="0" ref="B3">
      <text>
        <t xml:space="preserve">enviar dia 03</t>
      </text>
    </comment>
  </commentList>
</comments>
</file>

<file path=xl/sharedStrings.xml><?xml version="1.0" encoding="utf-8"?>
<sst xmlns="http://schemas.openxmlformats.org/spreadsheetml/2006/main" count="273" uniqueCount="60">
  <si>
    <t xml:space="preserve">STATUS </t>
  </si>
  <si>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</si>
  <si>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</si>
  <si>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</si>
  <si>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</si>
  <si>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</si>
  <si>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</si>
  <si>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</si>
  <si>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</si>
  <si>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</si>
  <si>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INTERNAÇÃO</t>
  </si>
  <si>
    <t>ISAURA DE MORAES LEONEL FERREIRA</t>
  </si>
  <si>
    <t>ECONOMUS</t>
  </si>
  <si>
    <t>NOVO PACIENTE</t>
  </si>
  <si>
    <t xml:space="preserve">PENDENCIA </t>
  </si>
  <si>
    <t>ITAPETININGA</t>
  </si>
  <si>
    <t>ÓBITO</t>
  </si>
  <si>
    <t>Karen Hikarai Matsubara de Souza</t>
  </si>
  <si>
    <t>ALTA TOTAL</t>
  </si>
  <si>
    <t>15 99662-8976</t>
  </si>
  <si>
    <t>LIDIA MARIA ANTUNES</t>
  </si>
  <si>
    <t xml:space="preserve">1X/DIA </t>
  </si>
  <si>
    <t>CABESP</t>
  </si>
  <si>
    <t>CAMPINAS</t>
  </si>
  <si>
    <t>Kezia Keren de Souza</t>
  </si>
  <si>
    <t>19 99910-1776</t>
  </si>
  <si>
    <t xml:space="preserve">AURELIO NAZARE ROCHA </t>
  </si>
  <si>
    <t>AVALIAÇÃO</t>
  </si>
  <si>
    <t>1X/MÊS</t>
  </si>
  <si>
    <t>LOUVEIRA</t>
  </si>
  <si>
    <t>Kezia Keren de Souza</t>
  </si>
  <si>
    <t xml:space="preserve"> MONICA SCHIMID ROCHA </t>
  </si>
  <si>
    <t>CLAUDE MATCHOULINE DE BARROS</t>
  </si>
  <si>
    <t>OMINT</t>
  </si>
  <si>
    <t>RITA DE CASSIA ZACCARDI</t>
  </si>
  <si>
    <t>Priscila Torres da Silva</t>
  </si>
  <si>
    <t>86 9417-2971</t>
  </si>
  <si>
    <t>DALVA BARBOSA LOPES</t>
  </si>
  <si>
    <t>FP</t>
  </si>
  <si>
    <t>CLAUDETTE HAAKE MULLER</t>
  </si>
  <si>
    <t>Matheus Calderini Mendes</t>
  </si>
  <si>
    <t>16 99209-5100</t>
  </si>
  <si>
    <t>ALTA</t>
  </si>
  <si>
    <t>ITU</t>
  </si>
  <si>
    <t>Jessica Cristina Romualdo Ozoterio da Silva</t>
  </si>
  <si>
    <t>21 99121-4648</t>
  </si>
  <si>
    <t>enviar dia 03</t>
  </si>
  <si>
    <t>1 ok</t>
  </si>
  <si>
    <t>RIBEIRÃO PRETO</t>
  </si>
  <si>
    <t>Érik Caetano Dias</t>
  </si>
  <si>
    <t>PENDENCIA</t>
  </si>
  <si>
    <t>16 99130-5317</t>
  </si>
  <si>
    <t>1X/SEMANA</t>
  </si>
  <si>
    <t>-</t>
  </si>
  <si>
    <t>16 99130-5317</t>
  </si>
  <si>
    <t>READMISSÃO</t>
  </si>
  <si>
    <t>TROCA</t>
  </si>
  <si>
    <t>Thaynanda Alves Pierazzo de Oliveira</t>
  </si>
  <si>
    <t>16 98178-2567</t>
  </si>
  <si>
    <t>86 9417-2971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</si>
</sst>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b/>
      <sz val="13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color theme="1"/>
      <name val="Arial"/>
      <scheme val="minor"/>
    </font>
    <font>
      <b/>
      <color theme="1"/>
      <name val="Calibri"/>
    </font>
    <font>
      <sz val="12.0"/>
      <color rgb="FF242424"/>
      <name val="&quot;Calibri&quot;"/>
    </font>
    <font>
      <b/>
      <color rgb="FFFFFFFF"/>
      <name val="Calibri"/>
    </font>
    <font>
      <color theme="1"/>
      <name val="Arial"/>
    </font>
    <font>
      <b/>
      <sz val="12.0"/>
      <color theme="1"/>
      <name val="Calibri"/>
    </font>
    <font>
      <b/>
      <sz val="11.0"/>
      <color rgb="FFFFFFFF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b/>
      <color rgb="FFFFFFFF"/>
      <name val="Arial"/>
      <scheme val="minor"/>
    </font>
    <font>
      <sz val="10.0"/>
      <color rgb="FF242424"/>
      <name val="&quot;Segoe UI&quot;"/>
    </font>
    <font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readingOrder="0" vertical="bottom"/>
    </xf>
    <xf borderId="1" fillId="0" fontId="3" numFmtId="49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vertical="bottom"/>
    </xf>
    <xf borderId="2" fillId="0" fontId="4" numFmtId="49" xfId="0" applyAlignment="1" applyBorder="1" applyFont="1" applyNumberFormat="1">
      <alignment horizontal="center" readingOrder="0" vertical="bottom"/>
    </xf>
    <xf borderId="1" fillId="5" fontId="4" numFmtId="49" xfId="0" applyAlignment="1" applyBorder="1" applyFill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6" fontId="5" numFmtId="0" xfId="0" applyAlignment="1" applyBorder="1" applyFill="1" applyFont="1">
      <alignment horizontal="center" vertical="bottom"/>
    </xf>
    <xf borderId="3" fillId="4" fontId="4" numFmtId="49" xfId="0" applyAlignment="1" applyBorder="1" applyFont="1" applyNumberFormat="1">
      <alignment horizontal="center" vertical="bottom"/>
    </xf>
    <xf borderId="2" fillId="0" fontId="3" numFmtId="49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2" numFmtId="49" xfId="0" applyAlignment="1" applyBorder="1" applyFont="1" applyNumberFormat="1">
      <alignment horizontal="center" readingOrder="0" vertical="bottom"/>
    </xf>
    <xf borderId="1" fillId="0" fontId="4" numFmtId="49" xfId="0" applyAlignment="1" applyBorder="1" applyFont="1" applyNumberForma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7" fontId="3" numFmtId="0" xfId="0" applyAlignment="1" applyBorder="1" applyFill="1" applyFont="1">
      <alignment horizontal="center" vertical="bottom"/>
    </xf>
    <xf borderId="1" fillId="5" fontId="7" numFmtId="49" xfId="0" applyAlignment="1" applyBorder="1" applyFont="1" applyNumberFormat="1">
      <alignment horizontal="center" vertical="bottom"/>
    </xf>
    <xf borderId="1" fillId="0" fontId="6" numFmtId="0" xfId="0" applyBorder="1" applyFont="1"/>
    <xf borderId="1" fillId="0" fontId="6" numFmtId="164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1" fillId="8" fontId="3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9" fontId="3" numFmtId="0" xfId="0" applyAlignment="1" applyBorder="1" applyFill="1" applyFont="1">
      <alignment horizontal="center" readingOrder="0" vertical="bottom"/>
    </xf>
    <xf borderId="1" fillId="6" fontId="9" numFmtId="0" xfId="0" applyAlignment="1" applyBorder="1" applyFont="1">
      <alignment horizontal="center" vertical="bottom"/>
    </xf>
    <xf borderId="1" fillId="0" fontId="10" numFmtId="0" xfId="0" applyAlignment="1" applyBorder="1" applyFont="1">
      <alignment vertical="bottom"/>
    </xf>
    <xf borderId="1" fillId="5" fontId="6" numFmtId="0" xfId="0" applyAlignment="1" applyBorder="1" applyFont="1">
      <alignment horizontal="center" readingOrder="0"/>
    </xf>
    <xf borderId="1" fillId="0" fontId="10" numFmtId="0" xfId="0" applyAlignment="1" applyBorder="1" applyFont="1">
      <alignment readingOrder="0" vertical="bottom"/>
    </xf>
    <xf borderId="1" fillId="4" fontId="10" numFmtId="0" xfId="0" applyAlignment="1" applyBorder="1" applyFont="1">
      <alignment vertical="bottom"/>
    </xf>
    <xf borderId="1" fillId="9" fontId="11" numFmtId="49" xfId="0" applyAlignment="1" applyBorder="1" applyFont="1" applyNumberFormat="1">
      <alignment horizontal="center" vertical="center"/>
    </xf>
    <xf borderId="3" fillId="4" fontId="7" numFmtId="49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0" fillId="0" fontId="10" numFmtId="49" xfId="0" applyAlignment="1" applyFont="1" applyNumberFormat="1">
      <alignment vertical="bottom"/>
    </xf>
    <xf borderId="1" fillId="0" fontId="3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center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horizontal="center"/>
    </xf>
    <xf borderId="5" fillId="4" fontId="4" numFmtId="49" xfId="0" applyAlignment="1" applyBorder="1" applyFont="1" applyNumberFormat="1">
      <alignment horizontal="center" vertical="bottom"/>
    </xf>
    <xf borderId="0" fillId="0" fontId="4" numFmtId="49" xfId="0" applyAlignment="1" applyFont="1" applyNumberFormat="1">
      <alignment horizontal="center" readingOrder="0" vertical="bottom"/>
    </xf>
    <xf borderId="0" fillId="9" fontId="4" numFmtId="49" xfId="0" applyAlignment="1" applyFont="1" applyNumberFormat="1">
      <alignment horizontal="center" vertical="bottom"/>
    </xf>
    <xf borderId="1" fillId="0" fontId="2" numFmtId="0" xfId="0" applyAlignment="1" applyBorder="1" applyFont="1">
      <alignment horizontal="center" readingOrder="0"/>
    </xf>
    <xf borderId="0" fillId="2" fontId="12" numFmtId="0" xfId="0" applyAlignment="1" applyFont="1">
      <alignment horizontal="center" vertical="bottom"/>
    </xf>
    <xf borderId="1" fillId="2" fontId="12" numFmtId="0" xfId="0" applyAlignment="1" applyBorder="1" applyFont="1">
      <alignment horizontal="center" vertical="bottom"/>
    </xf>
    <xf borderId="1" fillId="0" fontId="13" numFmtId="49" xfId="0" applyAlignment="1" applyBorder="1" applyFont="1" applyNumberForma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2" fillId="9" fontId="13" numFmtId="49" xfId="0" applyAlignment="1" applyBorder="1" applyFont="1" applyNumberFormat="1">
      <alignment horizontal="center" readingOrder="0" vertical="bottom"/>
    </xf>
    <xf borderId="5" fillId="3" fontId="4" numFmtId="49" xfId="0" applyAlignment="1" applyBorder="1" applyFont="1" applyNumberFormat="1">
      <alignment horizontal="center" readingOrder="0" vertical="bottom"/>
    </xf>
    <xf borderId="1" fillId="9" fontId="14" numFmtId="0" xfId="0" applyAlignment="1" applyBorder="1" applyFont="1">
      <alignment horizontal="center" readingOrder="0"/>
    </xf>
    <xf borderId="0" fillId="2" fontId="12" numFmtId="0" xfId="0" applyAlignment="1" applyFont="1">
      <alignment horizontal="center" readingOrder="0" vertical="bottom"/>
    </xf>
    <xf borderId="2" fillId="0" fontId="14" numFmtId="49" xfId="0" applyAlignment="1" applyBorder="1" applyFont="1" applyNumberFormat="1">
      <alignment horizontal="center" readingOrder="0" vertical="bottom"/>
    </xf>
    <xf borderId="1" fillId="7" fontId="6" numFmtId="0" xfId="0" applyBorder="1" applyFont="1"/>
    <xf borderId="1" fillId="4" fontId="4" numFmtId="49" xfId="0" applyAlignment="1" applyBorder="1" applyFont="1" applyNumberFormat="1">
      <alignment horizontal="center" vertical="bottom"/>
    </xf>
    <xf borderId="1" fillId="9" fontId="15" numFmtId="49" xfId="0" applyAlignment="1" applyBorder="1" applyFont="1" applyNumberFormat="1">
      <alignment horizontal="center" readingOrder="0" vertical="bottom"/>
    </xf>
    <xf borderId="2" fillId="9" fontId="15" numFmtId="49" xfId="0" applyAlignment="1" applyBorder="1" applyFont="1" applyNumberFormat="1">
      <alignment horizontal="center" readingOrder="0" vertical="bottom"/>
    </xf>
    <xf borderId="1" fillId="9" fontId="3" numFmtId="164" xfId="0" applyAlignment="1" applyBorder="1" applyFont="1" applyNumberFormat="1">
      <alignment horizontal="center" readingOrder="0"/>
    </xf>
    <xf borderId="1" fillId="9" fontId="3" numFmtId="0" xfId="0" applyAlignment="1" applyBorder="1" applyFont="1">
      <alignment horizontal="center" readingOrder="0"/>
    </xf>
    <xf borderId="2" fillId="9" fontId="14" numFmtId="49" xfId="0" applyAlignment="1" applyBorder="1" applyFont="1" applyNumberFormat="1">
      <alignment horizontal="center" readingOrder="0" vertical="bottom"/>
    </xf>
    <xf borderId="1" fillId="9" fontId="3" numFmtId="0" xfId="0" applyBorder="1" applyFont="1"/>
    <xf borderId="1" fillId="9" fontId="3" numFmtId="0" xfId="0" applyAlignment="1" applyBorder="1" applyFont="1">
      <alignment readingOrder="0"/>
    </xf>
    <xf borderId="1" fillId="0" fontId="16" numFmtId="0" xfId="0" applyAlignment="1" applyBorder="1" applyFont="1">
      <alignment horizontal="center" readingOrder="0"/>
    </xf>
    <xf borderId="1" fillId="3" fontId="4" numFmtId="49" xfId="0" applyAlignment="1" applyBorder="1" applyFont="1" applyNumberFormat="1">
      <alignment horizontal="center" vertical="bottom"/>
    </xf>
    <xf borderId="1" fillId="0" fontId="15" numFmtId="49" xfId="0" applyAlignment="1" applyBorder="1" applyFont="1" applyNumberFormat="1">
      <alignment horizontal="center" readingOrder="0" vertical="bottom"/>
    </xf>
    <xf borderId="1" fillId="9" fontId="15" numFmtId="49" xfId="0" applyAlignment="1" applyBorder="1" applyFont="1" applyNumberFormat="1">
      <alignment horizontal="center" vertical="center"/>
    </xf>
    <xf borderId="0" fillId="5" fontId="15" numFmtId="49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vertical="bottom"/>
    </xf>
    <xf borderId="5" fillId="5" fontId="4" numFmtId="49" xfId="0" applyAlignment="1" applyBorder="1" applyFont="1" applyNumberFormat="1">
      <alignment horizontal="center" readingOrder="0" vertical="bottom"/>
    </xf>
    <xf borderId="1" fillId="3" fontId="17" numFmtId="0" xfId="0" applyAlignment="1" applyBorder="1" applyFont="1">
      <alignment horizontal="center" readingOrder="0"/>
    </xf>
    <xf borderId="0" fillId="9" fontId="18" numFmtId="0" xfId="0" applyAlignment="1" applyFont="1">
      <alignment horizontal="center" readingOrder="0"/>
    </xf>
    <xf borderId="1" fillId="3" fontId="6" numFmtId="0" xfId="0" applyBorder="1" applyFont="1"/>
    <xf borderId="1" fillId="5" fontId="2" numFmtId="0" xfId="0" applyAlignment="1" applyBorder="1" applyFont="1">
      <alignment horizontal="center" readingOrder="0"/>
    </xf>
    <xf borderId="1" fillId="6" fontId="4" numFmtId="49" xfId="0" applyAlignment="1" applyBorder="1" applyFont="1" applyNumberFormat="1">
      <alignment horizontal="center" vertical="bottom"/>
    </xf>
    <xf borderId="0" fillId="0" fontId="3" numFmtId="0" xfId="0" applyFont="1"/>
    <xf borderId="0" fillId="9" fontId="15" numFmtId="49" xfId="0" applyAlignment="1" applyFont="1" applyNumberFormat="1">
      <alignment horizontal="center" readingOrder="0" vertical="center"/>
    </xf>
    <xf borderId="5" fillId="6" fontId="4" numFmtId="49" xfId="0" applyAlignment="1" applyBorder="1" applyFont="1" applyNumberFormat="1">
      <alignment horizontal="center" readingOrder="0" vertical="bottom"/>
    </xf>
    <xf borderId="1" fillId="9" fontId="19" numFmtId="0" xfId="0" applyAlignment="1" applyBorder="1" applyFont="1">
      <alignment horizontal="center" readingOrder="0"/>
    </xf>
    <xf borderId="1" fillId="9" fontId="6" numFmtId="0" xfId="0" applyAlignment="1" applyBorder="1" applyFont="1">
      <alignment horizontal="center" readingOrder="0"/>
    </xf>
    <xf borderId="1" fillId="8" fontId="6" numFmtId="0" xfId="0" applyAlignment="1" applyBorder="1" applyFont="1">
      <alignment horizontal="center" readingOrder="0"/>
    </xf>
    <xf borderId="1" fillId="9" fontId="20" numFmtId="0" xfId="0" applyAlignment="1" applyBorder="1" applyFont="1">
      <alignment horizontal="center" readingOrder="0"/>
    </xf>
    <xf borderId="1" fillId="0" fontId="21" numFmtId="49" xfId="0" applyAlignment="1" applyBorder="1" applyFont="1" applyNumberFormat="1">
      <alignment horizontal="center" readingOrder="0" vertical="bottom"/>
    </xf>
    <xf borderId="1" fillId="0" fontId="22" numFmtId="164" xfId="0" applyAlignment="1" applyBorder="1" applyFont="1" applyNumberFormat="1">
      <alignment horizontal="center" readingOrder="0"/>
    </xf>
    <xf borderId="1" fillId="0" fontId="22" numFmtId="0" xfId="0" applyAlignment="1" applyBorder="1" applyFont="1">
      <alignment horizontal="center" readingOrder="0"/>
    </xf>
    <xf borderId="1" fillId="9" fontId="22" numFmtId="0" xfId="0" applyAlignment="1" applyBorder="1" applyFont="1">
      <alignment horizontal="center" readingOrder="0"/>
    </xf>
    <xf borderId="1" fillId="7" fontId="22" numFmtId="0" xfId="0" applyAlignment="1" applyBorder="1" applyFont="1">
      <alignment horizontal="center" readingOrder="0"/>
    </xf>
    <xf borderId="1" fillId="5" fontId="22" numFmtId="0" xfId="0" applyAlignment="1" applyBorder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0" fillId="0" fontId="22" numFmtId="0" xfId="0" applyAlignment="1" applyFont="1">
      <alignment horizontal="center"/>
    </xf>
    <xf borderId="1" fillId="0" fontId="22" numFmtId="0" xfId="0" applyAlignment="1" applyBorder="1" applyFont="1">
      <alignment horizontal="center" vertical="bottom"/>
    </xf>
    <xf borderId="1" fillId="7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4.0"/>
    <col customWidth="1" min="3" max="3" width="15.25"/>
    <col customWidth="1" min="4" max="4" width="14.5"/>
    <col customWidth="1" min="6" max="6" width="15.0"/>
    <col customWidth="1" min="7" max="7" width="29.63"/>
    <col customWidth="1" min="9" max="9" width="14.63"/>
    <col customWidth="1" min="10" max="40" width="3.38"/>
    <col customWidth="1" min="41" max="41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3" t="s">
        <v>10</v>
      </c>
      <c r="B2" s="4" t="s">
        <v>11</v>
      </c>
      <c r="C2" s="5" t="s">
        <v>12</v>
      </c>
      <c r="D2" s="7" t="s">
        <v>13</v>
      </c>
      <c r="E2" s="9">
        <v>45996.0</v>
      </c>
      <c r="F2" s="10" t="s">
        <v>15</v>
      </c>
      <c r="G2" s="10" t="s">
        <v>17</v>
      </c>
      <c r="H2" s="10" t="s">
        <v>19</v>
      </c>
      <c r="I2" s="13" t="s">
        <v>21</v>
      </c>
      <c r="J2" s="14"/>
      <c r="K2" s="14"/>
      <c r="L2" s="14"/>
      <c r="M2" s="14"/>
      <c r="N2" s="10">
        <v>1.0</v>
      </c>
      <c r="O2" s="10">
        <v>1.0</v>
      </c>
      <c r="P2" s="10">
        <v>1.0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7"/>
      <c r="AG2" s="17"/>
      <c r="AH2" s="17"/>
      <c r="AI2" s="17"/>
      <c r="AJ2" s="17"/>
      <c r="AK2" s="17"/>
      <c r="AL2" s="17"/>
      <c r="AM2" s="17"/>
      <c r="AN2" s="17"/>
      <c r="AO2" s="19">
        <v>3.0</v>
      </c>
    </row>
    <row r="3">
      <c r="A3" s="21" t="s">
        <v>14</v>
      </c>
      <c r="B3" s="4" t="s">
        <v>11</v>
      </c>
      <c r="C3" s="5" t="s">
        <v>12</v>
      </c>
      <c r="D3" s="7" t="s">
        <v>13</v>
      </c>
      <c r="E3" s="9">
        <v>45996.0</v>
      </c>
      <c r="F3" s="10" t="s">
        <v>15</v>
      </c>
      <c r="G3" s="10" t="s">
        <v>17</v>
      </c>
      <c r="H3" s="10" t="s">
        <v>19</v>
      </c>
      <c r="I3" s="13" t="s">
        <v>28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7"/>
      <c r="AG3" s="17"/>
      <c r="AH3" s="17"/>
      <c r="AI3" s="17"/>
      <c r="AJ3" s="17"/>
      <c r="AK3" s="17"/>
      <c r="AL3" s="17"/>
      <c r="AM3" s="17"/>
      <c r="AN3" s="17"/>
      <c r="AO3" s="28">
        <v>0.0</v>
      </c>
    </row>
    <row r="4">
      <c r="A4" s="30" t="s">
        <v>16</v>
      </c>
      <c r="B4" s="4" t="s">
        <v>11</v>
      </c>
      <c r="C4" s="5" t="s">
        <v>12</v>
      </c>
      <c r="D4" s="16" t="s">
        <v>13</v>
      </c>
      <c r="E4" s="9">
        <v>46002.0</v>
      </c>
      <c r="F4" s="10" t="s">
        <v>15</v>
      </c>
      <c r="G4" s="10" t="s">
        <v>17</v>
      </c>
      <c r="H4" s="10" t="s">
        <v>19</v>
      </c>
      <c r="I4" s="13" t="s">
        <v>27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3">
        <v>1.0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4"/>
      <c r="AG4" s="34"/>
      <c r="AH4" s="34"/>
      <c r="AI4" s="34"/>
      <c r="AJ4" s="34"/>
      <c r="AK4" s="34"/>
      <c r="AL4" s="34"/>
      <c r="AM4" s="34"/>
      <c r="AN4" s="34"/>
      <c r="AO4" s="19">
        <v>1.0</v>
      </c>
    </row>
    <row r="5">
      <c r="A5" s="36" t="s">
        <v>18</v>
      </c>
      <c r="B5" s="37"/>
      <c r="C5" s="38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</sheetData>
  <dataValidations>
    <dataValidation type="list" allowBlank="1" showErrorMessage="1" sqref="C2:C4">
      <formula1>"ECONOMUS"</formula1>
    </dataValidation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4.0"/>
    <col customWidth="1" min="3" max="3" width="15.25"/>
    <col customWidth="1" min="4" max="4" width="14.5"/>
    <col customWidth="1" min="6" max="6" width="15.0"/>
    <col customWidth="1" min="7" max="7" width="29.63"/>
    <col customWidth="1" min="9" max="9" width="14.63"/>
    <col customWidth="1" min="10" max="40" width="3.38"/>
    <col customWidth="1" min="41" max="41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6" t="s">
        <v>10</v>
      </c>
      <c r="B2" s="10" t="s">
        <v>20</v>
      </c>
      <c r="C2" s="15" t="s">
        <v>22</v>
      </c>
      <c r="D2" s="16" t="s">
        <v>13</v>
      </c>
      <c r="E2" s="9">
        <v>46028.0</v>
      </c>
      <c r="F2" s="10" t="s">
        <v>23</v>
      </c>
      <c r="G2" s="10" t="s">
        <v>24</v>
      </c>
      <c r="H2" s="10" t="s">
        <v>25</v>
      </c>
      <c r="I2" s="13" t="s">
        <v>27</v>
      </c>
      <c r="J2" s="20"/>
      <c r="K2" s="20"/>
      <c r="L2" s="20"/>
      <c r="M2" s="20"/>
      <c r="N2" s="20"/>
      <c r="O2" s="20"/>
      <c r="P2" s="10">
        <v>1.0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9">
        <v>1.0</v>
      </c>
    </row>
    <row r="3">
      <c r="A3" s="8" t="s">
        <v>14</v>
      </c>
      <c r="B3" s="10" t="s">
        <v>20</v>
      </c>
      <c r="C3" s="15" t="s">
        <v>22</v>
      </c>
      <c r="D3" s="16" t="s">
        <v>13</v>
      </c>
      <c r="E3" s="9">
        <v>46032.0</v>
      </c>
      <c r="F3" s="10" t="s">
        <v>23</v>
      </c>
      <c r="G3" s="10" t="s">
        <v>24</v>
      </c>
      <c r="H3" s="10" t="s">
        <v>25</v>
      </c>
      <c r="I3" s="13" t="s">
        <v>21</v>
      </c>
      <c r="J3" s="27"/>
      <c r="K3" s="27"/>
      <c r="L3" s="27"/>
      <c r="M3" s="27"/>
      <c r="N3" s="27"/>
      <c r="O3" s="27"/>
      <c r="P3" s="27"/>
      <c r="Q3" s="27"/>
      <c r="R3" s="27"/>
      <c r="S3" s="29">
        <v>1.0</v>
      </c>
      <c r="T3" s="10">
        <v>1.0</v>
      </c>
      <c r="U3" s="10">
        <v>1.0</v>
      </c>
      <c r="V3" s="10">
        <v>1.0</v>
      </c>
      <c r="W3" s="10">
        <v>1.0</v>
      </c>
      <c r="X3" s="10">
        <v>1.0</v>
      </c>
      <c r="Y3" s="10">
        <v>1.0</v>
      </c>
      <c r="Z3" s="10">
        <v>1.0</v>
      </c>
      <c r="AA3" s="10">
        <v>1.0</v>
      </c>
      <c r="AB3" s="10">
        <v>1.0</v>
      </c>
      <c r="AC3" s="10">
        <v>1.0</v>
      </c>
      <c r="AD3" s="10">
        <v>1.0</v>
      </c>
      <c r="AE3" s="10">
        <v>1.0</v>
      </c>
      <c r="AF3" s="10">
        <v>1.0</v>
      </c>
      <c r="AG3" s="10">
        <v>1.0</v>
      </c>
      <c r="AH3" s="10">
        <v>1.0</v>
      </c>
      <c r="AI3" s="10">
        <v>1.0</v>
      </c>
      <c r="AJ3" s="10">
        <v>1.0</v>
      </c>
      <c r="AK3" s="10">
        <v>1.0</v>
      </c>
      <c r="AL3" s="10">
        <v>1.0</v>
      </c>
      <c r="AM3" s="10">
        <v>1.0</v>
      </c>
      <c r="AN3" s="10">
        <v>1.0</v>
      </c>
      <c r="AO3" s="35">
        <f>AN3+AM3+AL3+AK3+AJ3+AI3+AH3+AG3+AF3+AE3+AD3+AC3+AB3+AA3+Z3+Y3+X3+W3+V3+U3+T3+S3+R3+Q3+P3+O3+N3+M3+L3+K3+J3</f>
        <v>22</v>
      </c>
    </row>
    <row r="4">
      <c r="A4" s="11" t="s">
        <v>16</v>
      </c>
      <c r="B4" s="39" t="s">
        <v>32</v>
      </c>
      <c r="C4" s="15" t="s">
        <v>33</v>
      </c>
      <c r="D4" s="16" t="s">
        <v>13</v>
      </c>
      <c r="E4" s="9">
        <v>46043.0</v>
      </c>
      <c r="F4" s="39" t="s">
        <v>23</v>
      </c>
      <c r="G4" s="39" t="s">
        <v>24</v>
      </c>
      <c r="H4" s="10" t="s">
        <v>25</v>
      </c>
      <c r="I4" s="13" t="s">
        <v>27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39">
        <v>1.0</v>
      </c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7">
        <v>1.0</v>
      </c>
    </row>
    <row r="5">
      <c r="A5" s="12" t="s">
        <v>18</v>
      </c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"ECONOMUS,CABESP,OMINT"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4.0"/>
    <col customWidth="1" min="3" max="3" width="15.25"/>
    <col customWidth="1" min="4" max="4" width="14.5"/>
    <col customWidth="1" min="6" max="6" width="15.0"/>
    <col customWidth="1" min="7" max="7" width="29.63"/>
    <col customWidth="1" min="9" max="9" width="14.63"/>
    <col customWidth="1" min="10" max="40" width="3.38"/>
    <col customWidth="1" min="41" max="41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6" t="s">
        <v>10</v>
      </c>
    </row>
    <row r="3">
      <c r="A3" s="8" t="s">
        <v>14</v>
      </c>
    </row>
    <row r="4">
      <c r="A4" s="11" t="s">
        <v>16</v>
      </c>
    </row>
    <row r="5">
      <c r="A5" s="12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4.0"/>
    <col customWidth="1" min="3" max="3" width="15.25"/>
    <col customWidth="1" min="4" max="4" width="17.13"/>
    <col customWidth="1" min="5" max="5" width="15.38"/>
    <col customWidth="1" min="6" max="6" width="15.0"/>
    <col customWidth="1" min="7" max="7" width="29.63"/>
    <col customWidth="1" min="8" max="8" width="17.25"/>
    <col customWidth="1" min="9" max="9" width="14.63"/>
    <col customWidth="1" min="10" max="40" width="3.38"/>
    <col customWidth="1" min="41" max="41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6" t="s">
        <v>10</v>
      </c>
      <c r="B2" s="18" t="s">
        <v>26</v>
      </c>
      <c r="C2" s="22"/>
      <c r="D2" s="16" t="s">
        <v>13</v>
      </c>
      <c r="E2" s="23">
        <v>46085.0</v>
      </c>
      <c r="F2" s="18" t="s">
        <v>29</v>
      </c>
      <c r="G2" s="24" t="s">
        <v>30</v>
      </c>
      <c r="H2" s="24" t="s">
        <v>25</v>
      </c>
      <c r="I2" s="13" t="s">
        <v>28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>
      <c r="A3" s="8" t="s">
        <v>14</v>
      </c>
      <c r="B3" s="18" t="s">
        <v>31</v>
      </c>
      <c r="C3" s="22"/>
      <c r="D3" s="16" t="s">
        <v>13</v>
      </c>
      <c r="E3" s="23">
        <v>46085.0</v>
      </c>
      <c r="F3" s="18" t="s">
        <v>29</v>
      </c>
      <c r="G3" s="18" t="s">
        <v>30</v>
      </c>
      <c r="H3" s="18" t="s">
        <v>25</v>
      </c>
      <c r="I3" s="13" t="s">
        <v>28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</row>
    <row r="4">
      <c r="A4" s="11" t="s">
        <v>16</v>
      </c>
      <c r="D4" s="45"/>
    </row>
    <row r="5">
      <c r="A5" s="12" t="s">
        <v>18</v>
      </c>
    </row>
    <row r="7">
      <c r="R7" s="22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4.0"/>
    <col customWidth="1" min="3" max="3" width="15.25"/>
    <col customWidth="1" min="4" max="4" width="17.13"/>
    <col customWidth="1" min="5" max="5" width="15.38"/>
    <col customWidth="1" min="6" max="6" width="15.0"/>
    <col customWidth="1" min="7" max="7" width="29.63"/>
    <col customWidth="1" min="8" max="8" width="17.25"/>
    <col customWidth="1" min="9" max="9" width="14.63"/>
    <col customWidth="1" min="10" max="40" width="4.63"/>
    <col customWidth="1" min="41" max="41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6" t="s">
        <v>10</v>
      </c>
      <c r="B2" s="18" t="s">
        <v>26</v>
      </c>
      <c r="C2" s="22"/>
      <c r="D2" s="16"/>
      <c r="E2" s="23"/>
      <c r="F2" s="18" t="s">
        <v>29</v>
      </c>
      <c r="G2" s="25" t="s">
        <v>30</v>
      </c>
      <c r="H2" s="26" t="s">
        <v>25</v>
      </c>
      <c r="I2" s="13" t="s">
        <v>28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>
      <c r="A3" s="8" t="s">
        <v>14</v>
      </c>
      <c r="B3" s="18" t="s">
        <v>31</v>
      </c>
      <c r="C3" s="22"/>
      <c r="D3" s="16"/>
      <c r="F3" s="18" t="s">
        <v>29</v>
      </c>
      <c r="G3" s="32" t="s">
        <v>30</v>
      </c>
      <c r="H3" s="18" t="s">
        <v>25</v>
      </c>
      <c r="I3" s="13" t="s">
        <v>28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</row>
    <row r="4">
      <c r="A4" s="11" t="s">
        <v>16</v>
      </c>
      <c r="B4" s="18" t="s">
        <v>34</v>
      </c>
      <c r="C4" s="22"/>
      <c r="D4" s="16" t="s">
        <v>13</v>
      </c>
      <c r="E4" s="23">
        <v>46132.0</v>
      </c>
      <c r="F4" s="18" t="s">
        <v>23</v>
      </c>
      <c r="G4" s="40" t="s">
        <v>35</v>
      </c>
      <c r="H4" s="18" t="s">
        <v>36</v>
      </c>
      <c r="I4" s="13" t="s">
        <v>27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42">
        <v>1.0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</row>
    <row r="5">
      <c r="A5" s="44" t="s">
        <v>18</v>
      </c>
      <c r="D5" s="45"/>
    </row>
    <row r="6">
      <c r="A6" s="46"/>
    </row>
    <row r="8">
      <c r="R8" s="22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44.0"/>
    <col customWidth="1" min="3" max="3" width="15.25"/>
    <col customWidth="1" min="4" max="4" width="17.13"/>
    <col customWidth="1" min="5" max="5" width="15.38"/>
    <col customWidth="1" min="6" max="6" width="15.0"/>
    <col customWidth="1" min="7" max="7" width="29.63"/>
    <col customWidth="1" min="8" max="8" width="17.25"/>
    <col customWidth="1" min="9" max="9" width="14.63"/>
    <col customWidth="1" min="10" max="40" width="4.63"/>
    <col customWidth="1" min="41" max="41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44" t="s">
        <v>18</v>
      </c>
      <c r="B2" s="18" t="s">
        <v>37</v>
      </c>
      <c r="C2" s="50"/>
      <c r="D2" s="52" t="s">
        <v>13</v>
      </c>
      <c r="E2" s="23">
        <v>46170.0</v>
      </c>
      <c r="F2" s="22"/>
      <c r="G2" s="18" t="s">
        <v>40</v>
      </c>
      <c r="H2" s="18" t="s">
        <v>41</v>
      </c>
      <c r="I2" s="56" t="s">
        <v>28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42">
        <v>1.0</v>
      </c>
      <c r="AL2" s="22"/>
      <c r="AM2" s="22"/>
      <c r="AN2" s="22"/>
      <c r="AO2" s="66">
        <v>1.0</v>
      </c>
    </row>
    <row r="3">
      <c r="A3" s="46"/>
    </row>
    <row r="5">
      <c r="R5" s="22"/>
    </row>
  </sheetData>
  <dataValidations>
    <dataValidation type="list" allowBlank="1" showErrorMessage="1" sqref="I2">
      <formula1>"1X/SEMANA,2X/SEMANA,3X/SEMANA,4X/SEMANA,5X/SEMANA,6X/SEMANA,1X/DIA ,2X/DIA,3X/DIA,4X/DIA,1X/MÊS,2X/MÊS ,BIMESTRAL,TRIMESTRAL,PONTUAL,AVALIAÇÃO"</formula1>
    </dataValidation>
    <dataValidation type="list" allowBlank="1" showErrorMessage="1" sqref="C2">
      <formula1>"ECONOMUS,CABESP,ALICE SAÚDE,VIVEST,PORTO SEGURO,CARE PLUS,OMINT,UNIMED SEGUROS,PETROBRAS,PARTICULAR"</formula1>
    </dataValidation>
    <dataValidation type="list" allowBlank="1" showErrorMessage="1" sqref="D2">
      <formula1>"NOVO PACIENTE,READMISSÃO,TROCA,INTENSIFICAÇÃO,DESMAME,COBERTURA,REVEZAMENTO"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13"/>
    <col customWidth="1" min="2" max="2" width="44.0"/>
    <col customWidth="1" min="3" max="3" width="15.25"/>
    <col customWidth="1" min="4" max="4" width="17.13"/>
    <col customWidth="1" min="5" max="5" width="15.38"/>
    <col customWidth="1" min="6" max="6" width="18.25"/>
    <col customWidth="1" min="7" max="7" width="34.88"/>
    <col customWidth="1" min="8" max="8" width="17.25"/>
    <col customWidth="1" min="9" max="9" width="17.13"/>
    <col customWidth="1" min="10" max="40" width="4.63"/>
    <col customWidth="1" min="41" max="42" width="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51" t="s">
        <v>38</v>
      </c>
    </row>
    <row r="2">
      <c r="A2" s="53" t="s">
        <v>10</v>
      </c>
      <c r="B2" s="54" t="s">
        <v>39</v>
      </c>
      <c r="C2" s="59" t="s">
        <v>33</v>
      </c>
      <c r="D2" s="60" t="s">
        <v>13</v>
      </c>
      <c r="E2" s="61">
        <v>46195.0</v>
      </c>
      <c r="F2" s="29" t="s">
        <v>43</v>
      </c>
      <c r="G2" s="62" t="s">
        <v>44</v>
      </c>
      <c r="H2" s="62" t="s">
        <v>45</v>
      </c>
      <c r="I2" s="63" t="s">
        <v>28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>
        <v>1.0</v>
      </c>
      <c r="AF2" s="64"/>
      <c r="AG2" s="64"/>
      <c r="AH2" s="64"/>
      <c r="AI2" s="64"/>
      <c r="AJ2" s="64"/>
      <c r="AK2" s="64"/>
      <c r="AL2" s="64"/>
      <c r="AM2" s="64"/>
      <c r="AN2" s="64"/>
      <c r="AO2" s="69">
        <f t="shared" ref="AO2:AO8" si="1">AN2+AM2+AL2+AK2+AJ2+AI2+AH2+AG2+AF2+AE2+AD2+AC2+AB2+AA2+Z2+Y2+X2+W2+V2+U2+T2+S2+R2+Q2+P2+O2+N2+M2+L2+K2+J2</f>
        <v>1</v>
      </c>
      <c r="AP2" s="70"/>
    </row>
    <row r="3">
      <c r="A3" s="72" t="s">
        <v>50</v>
      </c>
      <c r="B3" s="73" t="s">
        <v>37</v>
      </c>
      <c r="C3" s="50"/>
      <c r="D3" s="52"/>
      <c r="E3" s="23"/>
      <c r="F3" s="74" t="s">
        <v>48</v>
      </c>
      <c r="G3" s="32" t="s">
        <v>40</v>
      </c>
      <c r="H3" s="32" t="s">
        <v>41</v>
      </c>
      <c r="I3" s="56" t="s">
        <v>28</v>
      </c>
      <c r="J3" s="57"/>
      <c r="K3" s="57"/>
      <c r="L3" s="57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69">
        <f t="shared" si="1"/>
        <v>0</v>
      </c>
      <c r="AP3" s="79" t="s">
        <v>53</v>
      </c>
    </row>
    <row r="4">
      <c r="A4" s="80" t="s">
        <v>16</v>
      </c>
      <c r="B4" s="81" t="s">
        <v>37</v>
      </c>
      <c r="C4" s="50"/>
      <c r="D4" s="52" t="s">
        <v>13</v>
      </c>
      <c r="E4" s="23">
        <v>46183.0</v>
      </c>
      <c r="F4" s="18" t="s">
        <v>48</v>
      </c>
      <c r="G4" s="82" t="s">
        <v>49</v>
      </c>
      <c r="H4" s="82" t="s">
        <v>54</v>
      </c>
      <c r="I4" s="56" t="s">
        <v>27</v>
      </c>
      <c r="J4" s="83"/>
      <c r="K4" s="83"/>
      <c r="L4" s="83"/>
      <c r="M4" s="83"/>
      <c r="N4" s="83"/>
      <c r="O4" s="83"/>
      <c r="P4" s="83"/>
      <c r="Q4" s="83"/>
      <c r="R4" s="83"/>
      <c r="S4" s="83"/>
      <c r="T4" s="82">
        <v>1.0</v>
      </c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69">
        <f t="shared" si="1"/>
        <v>1</v>
      </c>
      <c r="AP4" s="70"/>
    </row>
    <row r="5">
      <c r="A5" s="44" t="s">
        <v>18</v>
      </c>
      <c r="B5" s="84" t="s">
        <v>37</v>
      </c>
      <c r="C5" s="85"/>
      <c r="D5" s="60" t="s">
        <v>55</v>
      </c>
      <c r="E5" s="86">
        <v>46190.0</v>
      </c>
      <c r="F5" s="87" t="s">
        <v>48</v>
      </c>
      <c r="G5" s="88" t="s">
        <v>49</v>
      </c>
      <c r="H5" s="88" t="s">
        <v>51</v>
      </c>
      <c r="I5" s="56" t="s">
        <v>52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69">
        <f t="shared" si="1"/>
        <v>0</v>
      </c>
      <c r="AP5" s="79" t="s">
        <v>53</v>
      </c>
    </row>
    <row r="6">
      <c r="B6" s="84" t="s">
        <v>37</v>
      </c>
      <c r="C6" s="85"/>
      <c r="D6" s="60" t="s">
        <v>56</v>
      </c>
      <c r="E6" s="86">
        <v>46191.0</v>
      </c>
      <c r="F6" s="87" t="s">
        <v>48</v>
      </c>
      <c r="G6" s="90" t="s">
        <v>57</v>
      </c>
      <c r="H6" s="90" t="s">
        <v>58</v>
      </c>
      <c r="I6" s="56" t="s">
        <v>52</v>
      </c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69">
        <f t="shared" si="1"/>
        <v>0</v>
      </c>
      <c r="AP6" s="79" t="s">
        <v>53</v>
      </c>
    </row>
    <row r="7">
      <c r="A7" s="92"/>
      <c r="B7" s="84" t="s">
        <v>37</v>
      </c>
      <c r="C7" s="85"/>
      <c r="D7" s="60" t="s">
        <v>56</v>
      </c>
      <c r="E7" s="86">
        <v>46203.0</v>
      </c>
      <c r="F7" s="87" t="s">
        <v>48</v>
      </c>
      <c r="G7" s="93" t="s">
        <v>49</v>
      </c>
      <c r="H7" s="93" t="s">
        <v>51</v>
      </c>
      <c r="I7" s="56" t="s">
        <v>52</v>
      </c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69">
        <f t="shared" si="1"/>
        <v>0</v>
      </c>
      <c r="AP7" s="79" t="s">
        <v>53</v>
      </c>
    </row>
    <row r="8">
      <c r="B8" s="81" t="s">
        <v>32</v>
      </c>
      <c r="C8" s="50"/>
      <c r="D8" s="52" t="s">
        <v>13</v>
      </c>
      <c r="E8" s="23">
        <v>46184.0</v>
      </c>
      <c r="F8" s="18" t="s">
        <v>23</v>
      </c>
      <c r="G8" s="82" t="s">
        <v>35</v>
      </c>
      <c r="H8" s="82" t="s">
        <v>59</v>
      </c>
      <c r="I8" s="56" t="s">
        <v>27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82"/>
      <c r="U8" s="82">
        <v>1.0</v>
      </c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69">
        <f t="shared" si="1"/>
        <v>1</v>
      </c>
      <c r="AP8" s="70"/>
    </row>
  </sheetData>
  <dataValidations>
    <dataValidation type="list" allowBlank="1" showErrorMessage="1" sqref="I2:I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8">
      <formula1>"ECONOMUS,CABESP,ALICE SAÚDE,VIVEST,PORTO SEGURO,CARE PLUS,OMINT,UNIMED SEGUROS,PETROBRAS,PARTICULAR"</formula1>
    </dataValidation>
    <dataValidation type="list" allowBlank="1" showErrorMessage="1" sqref="D2:D8">
      <formula1>"NOVO PACIENTE,READMISSÃO,TROCA,INTENSIFICAÇÃO,DESMAME,COBERTURA,REVEZAMENTO"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88"/>
    <col customWidth="1" min="2" max="2" width="44.0"/>
    <col customWidth="1" min="3" max="3" width="15.25"/>
    <col customWidth="1" min="4" max="4" width="17.13"/>
    <col customWidth="1" min="5" max="5" width="15.38"/>
    <col customWidth="1" min="6" max="6" width="18.25"/>
    <col customWidth="1" min="7" max="7" width="34.88"/>
    <col customWidth="1" min="8" max="8" width="17.25"/>
    <col customWidth="1" min="9" max="9" width="17.13"/>
    <col customWidth="1" min="10" max="40" width="4.63"/>
    <col customWidth="1" min="41" max="42" width="8.75"/>
  </cols>
  <sheetData>
    <row r="1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>
        <v>1.0</v>
      </c>
      <c r="K1" s="49">
        <v>2.0</v>
      </c>
      <c r="L1" s="49">
        <v>3.0</v>
      </c>
      <c r="M1" s="49">
        <v>4.0</v>
      </c>
      <c r="N1" s="49">
        <v>5.0</v>
      </c>
      <c r="O1" s="49">
        <v>6.0</v>
      </c>
      <c r="P1" s="49">
        <v>7.0</v>
      </c>
      <c r="Q1" s="49">
        <v>8.0</v>
      </c>
      <c r="R1" s="49">
        <v>9.0</v>
      </c>
      <c r="S1" s="49">
        <v>10.0</v>
      </c>
      <c r="T1" s="49">
        <v>11.0</v>
      </c>
      <c r="U1" s="49">
        <v>12.0</v>
      </c>
      <c r="V1" s="49">
        <v>13.0</v>
      </c>
      <c r="W1" s="49">
        <v>14.0</v>
      </c>
      <c r="X1" s="49">
        <v>15.0</v>
      </c>
      <c r="Y1" s="49">
        <v>16.0</v>
      </c>
      <c r="Z1" s="49">
        <v>17.0</v>
      </c>
      <c r="AA1" s="49">
        <v>18.0</v>
      </c>
      <c r="AB1" s="49">
        <v>19.0</v>
      </c>
      <c r="AC1" s="49">
        <v>20.0</v>
      </c>
      <c r="AD1" s="49">
        <v>21.0</v>
      </c>
      <c r="AE1" s="49">
        <v>22.0</v>
      </c>
      <c r="AF1" s="49">
        <v>23.0</v>
      </c>
      <c r="AG1" s="49">
        <v>24.0</v>
      </c>
      <c r="AH1" s="49">
        <v>25.0</v>
      </c>
      <c r="AI1" s="49">
        <v>26.0</v>
      </c>
      <c r="AJ1" s="49">
        <v>27.0</v>
      </c>
      <c r="AK1" s="49">
        <v>28.0</v>
      </c>
      <c r="AL1" s="49">
        <v>29.0</v>
      </c>
      <c r="AM1" s="49">
        <v>30.0</v>
      </c>
      <c r="AN1" s="49">
        <v>31.0</v>
      </c>
      <c r="AO1" s="49" t="s">
        <v>9</v>
      </c>
      <c r="AP1" s="55" t="s">
        <v>38</v>
      </c>
    </row>
    <row r="2">
      <c r="A2" s="58" t="s">
        <v>42</v>
      </c>
      <c r="B2" s="54" t="s">
        <v>39</v>
      </c>
      <c r="C2" s="59" t="s">
        <v>33</v>
      </c>
      <c r="D2" s="60"/>
      <c r="E2" s="62" t="s">
        <v>46</v>
      </c>
      <c r="F2" s="29" t="s">
        <v>43</v>
      </c>
      <c r="G2" s="62" t="s">
        <v>44</v>
      </c>
      <c r="H2" s="62" t="s">
        <v>45</v>
      </c>
      <c r="I2" s="63" t="s">
        <v>28</v>
      </c>
      <c r="J2" s="65"/>
      <c r="K2" s="64"/>
      <c r="L2" s="64"/>
      <c r="M2" s="64"/>
      <c r="N2" s="64"/>
      <c r="O2" s="64"/>
      <c r="P2" s="64"/>
      <c r="Q2" s="65">
        <v>1.0</v>
      </c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  <c r="AF2" s="65"/>
      <c r="AG2" s="65"/>
      <c r="AH2" s="65"/>
      <c r="AI2" s="65"/>
      <c r="AJ2" s="64"/>
      <c r="AK2" s="64"/>
      <c r="AL2" s="64"/>
      <c r="AM2" s="64"/>
      <c r="AN2" s="64"/>
      <c r="AO2" s="47">
        <f t="shared" ref="AO2:AO3" si="1">SUM(K2:AN2)</f>
        <v>1</v>
      </c>
      <c r="AP2" s="47" t="s">
        <v>47</v>
      </c>
    </row>
    <row r="3">
      <c r="A3" s="67" t="s">
        <v>10</v>
      </c>
      <c r="B3" s="54" t="s">
        <v>37</v>
      </c>
      <c r="C3" s="68" t="s">
        <v>33</v>
      </c>
      <c r="D3" s="60"/>
      <c r="E3" s="39" t="s">
        <v>46</v>
      </c>
      <c r="F3" s="39" t="s">
        <v>48</v>
      </c>
      <c r="G3" s="71" t="s">
        <v>49</v>
      </c>
      <c r="H3" s="71" t="s">
        <v>51</v>
      </c>
      <c r="I3" s="56" t="s">
        <v>52</v>
      </c>
      <c r="J3" s="62"/>
      <c r="K3" s="62">
        <v>1.0</v>
      </c>
      <c r="L3" s="62"/>
      <c r="M3" s="62"/>
      <c r="N3" s="62"/>
      <c r="O3" s="62"/>
      <c r="P3" s="62"/>
      <c r="Q3" s="62">
        <v>1.0</v>
      </c>
      <c r="R3" s="62"/>
      <c r="S3" s="62"/>
      <c r="T3" s="62"/>
      <c r="U3" s="62"/>
      <c r="V3" s="62"/>
      <c r="W3" s="62"/>
      <c r="X3" s="62">
        <v>1.0</v>
      </c>
      <c r="Y3" s="62"/>
      <c r="Z3" s="62"/>
      <c r="AA3" s="62"/>
      <c r="AB3" s="62"/>
      <c r="AC3" s="62"/>
      <c r="AD3" s="62"/>
      <c r="AE3" s="62">
        <v>1.0</v>
      </c>
      <c r="AF3" s="62"/>
      <c r="AG3" s="62"/>
      <c r="AH3" s="62"/>
      <c r="AI3" s="62"/>
      <c r="AJ3" s="62"/>
      <c r="AK3" s="62"/>
      <c r="AL3" s="62">
        <v>1.0</v>
      </c>
      <c r="AM3" s="62"/>
      <c r="AN3" s="62"/>
      <c r="AO3" s="47">
        <f t="shared" si="1"/>
        <v>5</v>
      </c>
      <c r="AP3" s="76"/>
    </row>
    <row r="4">
      <c r="A4" s="77" t="s">
        <v>16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</row>
    <row r="5">
      <c r="A5" s="8" t="s">
        <v>14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</row>
    <row r="6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</row>
    <row r="7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"ECONOMUS,CABESP,ALICE SAÚDE,VIVEST,PORTO SEGURO,CARE PLUS,OMINT,UNIMED SEGUROS,PETROBRAS,PARTICULAR"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2.88"/>
    <col customWidth="1" min="2" max="2" width="44.0"/>
    <col customWidth="1" min="3" max="3" width="15.25"/>
    <col customWidth="1" min="4" max="4" width="17.13"/>
    <col customWidth="1" min="5" max="5" width="15.38"/>
    <col customWidth="1" min="6" max="6" width="18.25"/>
    <col customWidth="1" min="7" max="7" width="34.88"/>
    <col customWidth="1" min="8" max="8" width="17.25"/>
    <col customWidth="1" min="9" max="9" width="17.13"/>
    <col customWidth="1" min="10" max="40" width="4.63"/>
    <col customWidth="1" min="41" max="41" width="8.75"/>
  </cols>
  <sheetData>
    <row r="1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>
        <v>1.0</v>
      </c>
      <c r="K1" s="49">
        <v>2.0</v>
      </c>
      <c r="L1" s="49">
        <v>3.0</v>
      </c>
      <c r="M1" s="49">
        <v>4.0</v>
      </c>
      <c r="N1" s="49">
        <v>5.0</v>
      </c>
      <c r="O1" s="49">
        <v>6.0</v>
      </c>
      <c r="P1" s="49">
        <v>7.0</v>
      </c>
      <c r="Q1" s="49">
        <v>8.0</v>
      </c>
      <c r="R1" s="49">
        <v>9.0</v>
      </c>
      <c r="S1" s="49">
        <v>10.0</v>
      </c>
      <c r="T1" s="49">
        <v>11.0</v>
      </c>
      <c r="U1" s="49">
        <v>12.0</v>
      </c>
      <c r="V1" s="49">
        <v>13.0</v>
      </c>
      <c r="W1" s="49">
        <v>14.0</v>
      </c>
      <c r="X1" s="49">
        <v>15.0</v>
      </c>
      <c r="Y1" s="49">
        <v>16.0</v>
      </c>
      <c r="Z1" s="49">
        <v>17.0</v>
      </c>
      <c r="AA1" s="49">
        <v>18.0</v>
      </c>
      <c r="AB1" s="49">
        <v>19.0</v>
      </c>
      <c r="AC1" s="49">
        <v>20.0</v>
      </c>
      <c r="AD1" s="49">
        <v>21.0</v>
      </c>
      <c r="AE1" s="49">
        <v>22.0</v>
      </c>
      <c r="AF1" s="49">
        <v>23.0</v>
      </c>
      <c r="AG1" s="49">
        <v>24.0</v>
      </c>
      <c r="AH1" s="49">
        <v>25.0</v>
      </c>
      <c r="AI1" s="49">
        <v>26.0</v>
      </c>
      <c r="AJ1" s="49">
        <v>27.0</v>
      </c>
      <c r="AK1" s="49">
        <v>28.0</v>
      </c>
      <c r="AL1" s="49">
        <v>29.0</v>
      </c>
      <c r="AM1" s="49">
        <v>30.0</v>
      </c>
      <c r="AN1" s="49">
        <v>31.0</v>
      </c>
      <c r="AO1" s="49" t="s">
        <v>9</v>
      </c>
    </row>
    <row r="2">
      <c r="A2" s="58" t="s">
        <v>42</v>
      </c>
      <c r="B2" s="54" t="s">
        <v>39</v>
      </c>
      <c r="C2" s="59" t="s">
        <v>33</v>
      </c>
      <c r="D2" s="60"/>
      <c r="E2" s="62"/>
      <c r="F2" s="29" t="s">
        <v>43</v>
      </c>
      <c r="G2" s="62" t="s">
        <v>44</v>
      </c>
      <c r="H2" s="62" t="s">
        <v>45</v>
      </c>
      <c r="I2" s="63" t="s">
        <v>28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5"/>
      <c r="AF2" s="65"/>
      <c r="AG2" s="65"/>
      <c r="AH2" s="65"/>
      <c r="AI2" s="65"/>
      <c r="AJ2" s="64"/>
      <c r="AK2" s="64"/>
      <c r="AL2" s="64"/>
      <c r="AM2" s="64"/>
      <c r="AN2" s="64"/>
      <c r="AO2" s="91">
        <f t="shared" ref="AO2:AO3" si="1">SUM(K2:AN2)</f>
        <v>0</v>
      </c>
    </row>
    <row r="3">
      <c r="A3" s="67" t="s">
        <v>10</v>
      </c>
      <c r="B3" s="54" t="s">
        <v>37</v>
      </c>
      <c r="C3" s="68" t="s">
        <v>33</v>
      </c>
      <c r="D3" s="60"/>
      <c r="E3" s="39"/>
      <c r="F3" s="39" t="s">
        <v>48</v>
      </c>
      <c r="G3" s="71" t="s">
        <v>49</v>
      </c>
      <c r="H3" s="71" t="s">
        <v>51</v>
      </c>
      <c r="I3" s="56" t="s">
        <v>52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91">
        <f t="shared" si="1"/>
        <v>0</v>
      </c>
    </row>
    <row r="4">
      <c r="A4" s="77" t="s">
        <v>16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</row>
    <row r="5">
      <c r="A5" s="8" t="s">
        <v>14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</row>
    <row r="6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</row>
    <row r="7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</row>
  </sheetData>
  <dataValidations>
    <dataValidation type="list" allowBlank="1" showErrorMessage="1" sqref="I2:I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3">
      <formula1>"ECONOMUS,CABESP,ALICE SAÚDE,VIVEST,PORTO SEGURO,CARE PLUS,OMINT,UNIMED SEGUROS,PETROBRAS,PARTICULAR"</formula1>
    </dataValidation>
    <dataValidation type="list" allowBlank="1" showErrorMessage="1" sqref="D2:D3">
      <formula1>"NOVO PACIENTE,READMISSÃO,TROCA,INTENSIFICAÇÃO,DESMAME,COBERTURA,REVEZAMENTO"</formula1>
    </dataValidation>
  </dataValidations>
  <drawing r:id="rId2"/>
  <legacyDrawing r:id="rId3"/>
</worksheet>
</file>