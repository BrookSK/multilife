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EIRO26" sheetId="1" r:id="rId5"/>
    <sheet state="hidden" name="FEVEREIRO26" sheetId="2" r:id="rId6"/>
    <sheet state="hidden" name="MARÇO26" sheetId="3" r:id="rId7"/>
    <sheet state="hidden" name="ABRIL26" sheetId="4" r:id="rId8"/>
    <sheet state="hidden" name="MAIO26" sheetId="5" r:id="rId9"/>
    <sheet state="hidden" name="JUNHO26" sheetId="6" r:id="rId10"/>
    <sheet state="visible" name="JULHO26" sheetId="7" r:id="rId11"/>
    <sheet state="visible" name="AGOSTO26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Atende 1x semana</t>
      </text>
    </comment>
    <comment authorId="0" ref="B12">
      <text>
        <t xml:space="preserve">paciente veio a óbito em 23/02.</t>
      </text>
    </comment>
    <comment authorId="0" ref="R11">
      <text>
        <t xml:space="preserve">Readmissão em 09/03/2026</t>
      </text>
    </comment>
    <comment authorId="0" ref="G9">
      <text>
        <t xml:space="preserve">atenderá somente de sexta-feira</t>
      </text>
    </comment>
    <comment authorId="0" ref="G8">
      <text>
        <t xml:space="preserve">Profissional irá atender de segunda-feira e quarta-feira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atenderá somente de sexta-feira. 
Profissional declinou em 30/03</t>
      </text>
    </comment>
    <comment authorId="0" ref="G4">
      <text>
        <t xml:space="preserve">Profissional irá atender de segunda-feira e quarta-feira</t>
      </text>
    </comment>
    <comment authorId="0" ref="R7">
      <text>
        <t xml:space="preserve">Readmissão em 09/03/2026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Profissional irá atender de segunda-feira e quarta-feira</t>
      </text>
    </comment>
    <comment authorId="0" ref="AL8">
      <text>
        <t xml:space="preserve">Readmissão em 29/05/2026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8">
      <text>
        <t xml:space="preserve">Passado para a troca em 24/06/2026</t>
      </text>
    </comment>
    <comment authorId="0" ref="I17">
      <text>
        <t xml:space="preserve">Período autorizado
26/06/2026 a 26/07/2026</t>
      </text>
    </comment>
    <comment authorId="0" ref="I16">
      <text>
        <t xml:space="preserve">Período autorizado
26/06/2026 a 26/07/2026</t>
      </text>
    </comment>
    <comment authorId="0" ref="G13">
      <text>
        <t xml:space="preserve">Não houve atendimento em junho</t>
      </text>
    </comment>
    <comment authorId="0" ref="G10">
      <text>
        <t xml:space="preserve">Profissional irá atender de segunda-feira e quarta-feira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Não houveram atend com a profissional em julho.</t>
      </text>
    </comment>
    <comment authorId="0" ref="F7">
      <text>
        <t xml:space="preserve">Profissional irá atender de segunda-feira e quarta-feira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Profissional irá atender de segunda-feira e quarta-feira</t>
      </text>
    </comment>
  </commentList>
</comments>
</file>

<file path=xl/sharedStrings.xml><?xml version="1.0" encoding="utf-8"?>
<sst xmlns="http://schemas.openxmlformats.org/spreadsheetml/2006/main" count="591" uniqueCount="127">
  <si>
    <t xml:space="preserve">STATUS </t>
  </si>
  <si>
    <t>PACIENTES</t>
  </si>
  <si>
    <t>CONVÊNIO</t>
  </si>
  <si>
    <t>MOTIVO</t>
  </si>
  <si>
    <t xml:space="preserve"> </t>
  </si>
  <si>
    <t>DATA</t>
  </si>
  <si>
    <t xml:space="preserve">CIDADE </t>
  </si>
  <si>
    <t>PROFISSIONAIS</t>
  </si>
  <si>
    <t>TELEFONE</t>
  </si>
  <si>
    <t>PAD</t>
  </si>
  <si>
    <t>TOTAL</t>
  </si>
  <si>
    <t>INTERNAÇÃO</t>
  </si>
  <si>
    <t>GILDA ROSANA LEONEL</t>
  </si>
  <si>
    <t>ANTONIO BUENO DE CAMARGO</t>
  </si>
  <si>
    <t>ECONOMUS</t>
  </si>
  <si>
    <t>AMAFRESP</t>
  </si>
  <si>
    <t>ALTA</t>
  </si>
  <si>
    <t>NOVO PACIENTE</t>
  </si>
  <si>
    <t xml:space="preserve"> ELCO  APPARECIDO FORNAZALI</t>
  </si>
  <si>
    <t>GUARULHOS</t>
  </si>
  <si>
    <t>JOANOPOLIS</t>
  </si>
  <si>
    <t>Maria Ivani De Souza Pereira </t>
  </si>
  <si>
    <t>Sarah Regina Ferreira da Silva</t>
  </si>
  <si>
    <t>11 99548-8305</t>
  </si>
  <si>
    <t>11 99941-8143</t>
  </si>
  <si>
    <t>3X/SEMANA</t>
  </si>
  <si>
    <t>UNIMED</t>
  </si>
  <si>
    <t xml:space="preserve">1X/DIA </t>
  </si>
  <si>
    <t>RIO CLARO</t>
  </si>
  <si>
    <t>Beatriz  Thomazella Torres</t>
  </si>
  <si>
    <t>19 99629-0203</t>
  </si>
  <si>
    <t xml:space="preserve">PENDENCIA </t>
  </si>
  <si>
    <t>Gabriela Gonçalves de Oliveira</t>
  </si>
  <si>
    <t xml:space="preserve"> 11 98188-2923</t>
  </si>
  <si>
    <t>OBITO</t>
  </si>
  <si>
    <t>ÓBITO</t>
  </si>
  <si>
    <t>CARLOS ROGERIO ALMEIDA SILVA</t>
  </si>
  <si>
    <t>AFRESP</t>
  </si>
  <si>
    <t>SÃO PAULO</t>
  </si>
  <si>
    <t>Thiago Barros da Luz</t>
  </si>
  <si>
    <t> 11 96844-3377</t>
  </si>
  <si>
    <t>5X/SEMANA</t>
  </si>
  <si>
    <t>JORGE LUIZ GALVÃO</t>
  </si>
  <si>
    <t>TREMEMBÉ</t>
  </si>
  <si>
    <t>Rafaela Arouca Nunes dos Santos</t>
  </si>
  <si>
    <t>12 99665-8577</t>
  </si>
  <si>
    <t>FABIO HERENQUE RODRIGUES MARTINHO</t>
  </si>
  <si>
    <t>PORTO SEGURO</t>
  </si>
  <si>
    <t>CAJAMAR</t>
  </si>
  <si>
    <t>Mariana Raquel de Lima Pessoa</t>
  </si>
  <si>
    <t>11 97146-5770</t>
  </si>
  <si>
    <t>Ramon Torres ourique Aguiar</t>
  </si>
  <si>
    <t>12 99107-5892</t>
  </si>
  <si>
    <t>Relatórios</t>
  </si>
  <si>
    <t>FP</t>
  </si>
  <si>
    <t>ALBERTINA BERRALDAMA DA COSTA</t>
  </si>
  <si>
    <t xml:space="preserve">VICENTE BERTOTTI </t>
  </si>
  <si>
    <t>Marianna de Oliveira Ramos Leão</t>
  </si>
  <si>
    <t>11 97504-1025</t>
  </si>
  <si>
    <t>AMANDA CATANZARO </t>
  </si>
  <si>
    <t>11 98762-6726</t>
  </si>
  <si>
    <t>MARIO HENRIQUE DOS SANTOS NETO</t>
  </si>
  <si>
    <t>SANTOS</t>
  </si>
  <si>
    <t>Amanda Oliveira dos Santos</t>
  </si>
  <si>
    <t>11 98105-8694</t>
  </si>
  <si>
    <t>OK</t>
  </si>
  <si>
    <t>CLEUZA MARIA SOUZA BLANCO</t>
  </si>
  <si>
    <t>Mariana Fernandes Barcella</t>
  </si>
  <si>
    <t>11 94807-6313</t>
  </si>
  <si>
    <t>AVALIAÇÃO</t>
  </si>
  <si>
    <t>MARIO RENATO LEME DUARTE</t>
  </si>
  <si>
    <t>READMISSÃO</t>
  </si>
  <si>
    <t>Andreza Guimarães</t>
  </si>
  <si>
    <t>11 97365-7572</t>
  </si>
  <si>
    <t xml:space="preserve">NAELCIO FERREIRA </t>
  </si>
  <si>
    <t>-</t>
  </si>
  <si>
    <t>PENDÊNCIA</t>
  </si>
  <si>
    <t>CAMPINAS</t>
  </si>
  <si>
    <t>Luciene Franklin Da Cunha</t>
  </si>
  <si>
    <t>11 99997-1752</t>
  </si>
  <si>
    <t>ok</t>
  </si>
  <si>
    <t>LENA FRANCO DE FARIA RAULE</t>
  </si>
  <si>
    <t>RIO PRETO</t>
  </si>
  <si>
    <t>Elivelton Aparecido Freitas Neves</t>
  </si>
  <si>
    <t>17 99736-0641</t>
  </si>
  <si>
    <t>ALBERTINA BALDERRAMA DA COSTA RIBEIRO</t>
  </si>
  <si>
    <t>1X/SEMANA</t>
  </si>
  <si>
    <t>3 ATEND</t>
  </si>
  <si>
    <t>DESMAME</t>
  </si>
  <si>
    <t>Jessika de Jesus Souza</t>
  </si>
  <si>
    <t>11 98463-4921</t>
  </si>
  <si>
    <t>TROCA</t>
  </si>
  <si>
    <t>MARIA DE LOURDES DAL ROVERE</t>
  </si>
  <si>
    <t xml:space="preserve"> ELSE LOPES MACHADO DE LIMA</t>
  </si>
  <si>
    <t xml:space="preserve">GUARUJA </t>
  </si>
  <si>
    <t>Maria Aparecida Barros Rocha</t>
  </si>
  <si>
    <t>13 99104-5506</t>
  </si>
  <si>
    <t>MARILIA</t>
  </si>
  <si>
    <t xml:space="preserve"> Tauany Blanco Silva</t>
  </si>
  <si>
    <t>14 99715-4166</t>
  </si>
  <si>
    <t>2 ATEND</t>
  </si>
  <si>
    <t xml:space="preserve"> Edneia Aparecida Klimke</t>
  </si>
  <si>
    <t>13 99722-3835</t>
  </si>
  <si>
    <t>ELMIRA RODRIGUES HASHIMOTO</t>
  </si>
  <si>
    <t>Ana Claudia Martins Dias</t>
  </si>
  <si>
    <t>11 98801-7852</t>
  </si>
  <si>
    <t>1 ATEND</t>
  </si>
  <si>
    <t>2X/SEMANA</t>
  </si>
  <si>
    <t>INTENSIFICAÇÃO</t>
  </si>
  <si>
    <t>11 ATEND</t>
  </si>
  <si>
    <t>30 atend</t>
  </si>
  <si>
    <t>NOAH ALVES BOZZI</t>
  </si>
  <si>
    <t>GUARUJÁ</t>
  </si>
  <si>
    <t>Edneia Aparecida Klimke</t>
  </si>
  <si>
    <t>13 99722-3835</t>
  </si>
  <si>
    <t>8 atend</t>
  </si>
  <si>
    <t>Paula Garcia Martins </t>
  </si>
  <si>
    <t>14 99105-7752</t>
  </si>
  <si>
    <t>7 ATEND</t>
  </si>
  <si>
    <t>12 ATEND</t>
  </si>
  <si>
    <t xml:space="preserve"> Ana Carolina de Oliveira Gigek</t>
  </si>
  <si>
    <t>14 99787-8266</t>
  </si>
  <si>
    <t>7 atend</t>
  </si>
  <si>
    <t>REVEZAMENTO</t>
  </si>
  <si>
    <t>TERESA DE ASSIS PEDRO</t>
  </si>
  <si>
    <t>Katia Ferreira de Lima Silva  </t>
  </si>
  <si>
    <t>11 95377-7388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</si>
</sst>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sz val="10.0"/>
      <color rgb="FFFFFFFF"/>
      <name val="Calibri"/>
    </font>
    <font>
      <sz val="11.0"/>
      <color rgb="FF000000"/>
      <name val="Calibri"/>
    </font>
    <font>
      <sz val="12.0"/>
      <color rgb="FF000000"/>
      <name val="Calibri"/>
    </font>
    <font>
      <sz val="11.0"/>
      <color rgb="FF242424"/>
      <name val="Calibri"/>
    </font>
    <font>
      <color rgb="FF000000"/>
      <name val="Arial"/>
    </font>
    <font>
      <color rgb="FFFFFFFF"/>
      <name val="Arial"/>
      <scheme val="minor"/>
    </font>
    <font>
      <b/>
      <sz val="11.0"/>
      <color rgb="FF000000"/>
      <name val="Calibri"/>
    </font>
    <font>
      <color rgb="FF000000"/>
      <name val="Calibri"/>
    </font>
    <font>
      <b/>
      <color rgb="FFFFFFFF"/>
      <name val="Arial"/>
    </font>
    <font>
      <color theme="1"/>
      <name val="Arial"/>
      <scheme val="minor"/>
    </font>
    <font>
      <sz val="12.0"/>
      <color rgb="FF242424"/>
      <name val="Calibri"/>
    </font>
    <font>
      <b/>
      <color rgb="FF000000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0" fontId="3" numFmtId="49" xfId="0" applyAlignment="1" applyBorder="1" applyFont="1" applyNumberFormat="1">
      <alignment horizontal="center" readingOrder="0" vertical="bottom"/>
    </xf>
    <xf borderId="1" fillId="4" fontId="2" numFmtId="0" xfId="0" applyAlignment="1" applyBorder="1" applyFill="1" applyFont="1">
      <alignment horizontal="center" vertical="bottom"/>
    </xf>
    <xf borderId="2" fillId="0" fontId="5" numFmtId="49" xfId="0" applyAlignment="1" applyBorder="1" applyFont="1" applyNumberFormat="1">
      <alignment horizontal="center" readingOrder="0" vertical="bottom"/>
    </xf>
    <xf borderId="1" fillId="5" fontId="4" numFmtId="0" xfId="0" applyAlignment="1" applyBorder="1" applyFill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2" fillId="0" fontId="3" numFmtId="49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1" fillId="5" fontId="6" numFmtId="0" xfId="0" applyAlignment="1" applyBorder="1" applyFont="1">
      <alignment vertical="bottom"/>
    </xf>
    <xf borderId="1" fillId="6" fontId="2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6" fontId="2" numFmtId="49" xfId="0" applyAlignment="1" applyBorder="1" applyFont="1" applyNumberFormat="1">
      <alignment horizontal="center" vertical="bottom"/>
    </xf>
    <xf borderId="0" fillId="0" fontId="6" numFmtId="0" xfId="0" applyAlignment="1" applyFont="1">
      <alignment vertical="bottom"/>
    </xf>
    <xf borderId="1" fillId="5" fontId="2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readingOrder="0" vertical="bottom"/>
    </xf>
    <xf borderId="1" fillId="4" fontId="6" numFmtId="0" xfId="0" applyAlignment="1" applyBorder="1" applyFont="1">
      <alignment vertical="bottom"/>
    </xf>
    <xf borderId="1" fillId="7" fontId="6" numFmtId="0" xfId="0" applyAlignment="1" applyBorder="1" applyFill="1" applyFont="1">
      <alignment vertical="bottom"/>
    </xf>
    <xf borderId="1" fillId="6" fontId="3" numFmtId="0" xfId="0" applyAlignment="1" applyBorder="1" applyFont="1">
      <alignment horizontal="center" readingOrder="0" vertical="bottom"/>
    </xf>
    <xf borderId="1" fillId="7" fontId="9" numFmtId="0" xfId="0" applyAlignment="1" applyBorder="1" applyFont="1">
      <alignment horizontal="center" readingOrder="0" vertical="bottom"/>
    </xf>
    <xf borderId="0" fillId="7" fontId="10" numFmtId="0" xfId="0" applyAlignment="1" applyFont="1">
      <alignment horizontal="center" readingOrder="0"/>
    </xf>
    <xf borderId="1" fillId="0" fontId="6" numFmtId="0" xfId="0" applyAlignment="1" applyBorder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6" numFmtId="49" xfId="0" applyAlignment="1" applyFont="1" applyNumberFormat="1">
      <alignment vertical="bottom"/>
    </xf>
    <xf borderId="2" fillId="0" fontId="5" numFmtId="49" xfId="0" applyAlignment="1" applyBorder="1" applyFont="1" applyNumberFormat="1">
      <alignment horizontal="center" vertical="bottom"/>
    </xf>
    <xf borderId="3" fillId="0" fontId="6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vertical="bottom"/>
    </xf>
    <xf borderId="2" fillId="0" fontId="3" numFmtId="49" xfId="0" applyAlignment="1" applyBorder="1" applyFont="1" applyNumberFormat="1">
      <alignment horizontal="center" vertical="bottom"/>
    </xf>
    <xf borderId="1" fillId="8" fontId="6" numFmtId="0" xfId="0" applyAlignment="1" applyBorder="1" applyFill="1" applyFont="1">
      <alignment vertical="bottom"/>
    </xf>
    <xf borderId="1" fillId="8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164" xfId="0" applyAlignment="1" applyBorder="1" applyFont="1" applyNumberFormat="1">
      <alignment horizontal="center" readingOrder="0" vertical="bottom"/>
    </xf>
    <xf borderId="0" fillId="6" fontId="5" numFmtId="0" xfId="0" applyAlignment="1" applyFont="1">
      <alignment horizontal="center" readingOrder="0"/>
    </xf>
    <xf borderId="1" fillId="7" fontId="12" numFmtId="0" xfId="0" applyAlignment="1" applyBorder="1" applyFont="1">
      <alignment horizontal="center" vertical="bottom"/>
    </xf>
    <xf borderId="0" fillId="0" fontId="3" numFmtId="49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13" numFmtId="0" xfId="0" applyFont="1"/>
    <xf borderId="1" fillId="7" fontId="6" numFmtId="0" xfId="0" applyAlignment="1" applyBorder="1" applyFont="1">
      <alignment readingOrder="0" vertical="bottom"/>
    </xf>
    <xf borderId="4" fillId="4" fontId="2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readingOrder="0" vertical="bottom"/>
    </xf>
    <xf borderId="0" fillId="7" fontId="2" numFmtId="0" xfId="0" applyAlignment="1" applyFont="1">
      <alignment horizontal="center" vertical="bottom"/>
    </xf>
    <xf borderId="0" fillId="3" fontId="2" numFmtId="0" xfId="0" applyAlignment="1" applyFont="1">
      <alignment horizontal="center" readingOrder="0" vertical="bottom"/>
    </xf>
    <xf borderId="0" fillId="7" fontId="5" numFmtId="0" xfId="0" applyAlignment="1" applyFont="1">
      <alignment horizontal="center" readingOrder="0"/>
    </xf>
    <xf borderId="1" fillId="4" fontId="14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7" fontId="10" numFmtId="0" xfId="0" applyAlignment="1" applyBorder="1" applyFont="1">
      <alignment horizontal="center" readingOrder="0"/>
    </xf>
    <xf borderId="0" fillId="7" fontId="9" numFmtId="0" xfId="0" applyAlignment="1" applyFont="1">
      <alignment horizontal="center" readingOrder="0"/>
    </xf>
    <xf borderId="1" fillId="4" fontId="5" numFmtId="49" xfId="0" applyAlignment="1" applyBorder="1" applyFont="1" applyNumberFormat="1">
      <alignment horizontal="center" vertical="bottom"/>
    </xf>
    <xf borderId="1" fillId="7" fontId="9" numFmtId="0" xfId="0" applyAlignment="1" applyBorder="1" applyFont="1">
      <alignment horizontal="center" readingOrder="0"/>
    </xf>
    <xf borderId="1" fillId="0" fontId="5" numFmtId="49" xfId="0" applyAlignment="1" applyBorder="1" applyFont="1" applyNumberFormat="1">
      <alignment horizontal="center" readingOrder="0" vertical="bottom"/>
    </xf>
    <xf borderId="1" fillId="7" fontId="9" numFmtId="0" xfId="0" applyAlignment="1" applyBorder="1" applyFont="1">
      <alignment horizontal="center" readingOrder="0"/>
    </xf>
    <xf borderId="1" fillId="7" fontId="10" numFmtId="0" xfId="0" applyAlignment="1" applyBorder="1" applyFont="1">
      <alignment horizontal="center" readingOrder="0"/>
    </xf>
    <xf borderId="1" fillId="8" fontId="15" numFmtId="0" xfId="0" applyAlignment="1" applyBorder="1" applyFont="1">
      <alignment horizontal="center" vertical="bottom"/>
    </xf>
    <xf borderId="1" fillId="8" fontId="15" numFmtId="0" xfId="0" applyAlignment="1" applyBorder="1" applyFont="1">
      <alignment horizontal="center" readingOrder="0" vertical="bottom"/>
    </xf>
    <xf borderId="1" fillId="7" fontId="15" numFmtId="0" xfId="0" applyAlignment="1" applyBorder="1" applyFont="1">
      <alignment horizontal="center" vertical="bottom"/>
    </xf>
    <xf borderId="1" fillId="3" fontId="5" numFmtId="49" xfId="0" applyAlignment="1" applyBorder="1" applyFont="1" applyNumberFormat="1">
      <alignment horizontal="center" vertical="bottom"/>
    </xf>
    <xf borderId="1" fillId="3" fontId="16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center" readingOrder="0"/>
    </xf>
    <xf borderId="1" fillId="7" fontId="15" numFmtId="0" xfId="0" applyAlignment="1" applyBorder="1" applyFont="1">
      <alignment horizontal="center" readingOrder="0" vertical="bottom"/>
    </xf>
    <xf borderId="1" fillId="0" fontId="17" numFmtId="0" xfId="0" applyBorder="1" applyFont="1"/>
    <xf borderId="1" fillId="0" fontId="17" numFmtId="164" xfId="0" applyAlignment="1" applyBorder="1" applyFont="1" applyNumberFormat="1">
      <alignment horizontal="center" readingOrder="0"/>
    </xf>
    <xf borderId="1" fillId="5" fontId="5" numFmtId="49" xfId="0" applyAlignment="1" applyBorder="1" applyFont="1" applyNumberFormat="1">
      <alignment horizontal="center" readingOrder="0" vertical="bottom"/>
    </xf>
    <xf borderId="4" fillId="5" fontId="2" numFmtId="0" xfId="0" applyAlignment="1" applyBorder="1" applyFont="1">
      <alignment horizontal="center" readingOrder="0" vertical="bottom"/>
    </xf>
    <xf borderId="0" fillId="0" fontId="18" numFmtId="0" xfId="0" applyAlignment="1" applyFont="1">
      <alignment horizontal="center" readingOrder="0"/>
    </xf>
    <xf borderId="1" fillId="5" fontId="5" numFmtId="49" xfId="0" applyAlignment="1" applyBorder="1" applyFont="1" applyNumberFormat="1">
      <alignment horizontal="center" vertical="bottom"/>
    </xf>
    <xf borderId="1" fillId="0" fontId="15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9" numFmtId="49" xfId="0" applyAlignment="1" applyBorder="1" applyFont="1" applyNumberFormat="1">
      <alignment horizontal="center" readingOrder="0" vertical="bottom"/>
    </xf>
    <xf borderId="1" fillId="0" fontId="9" numFmtId="164" xfId="0" applyAlignment="1" applyBorder="1" applyFont="1" applyNumberFormat="1">
      <alignment horizontal="center" readingOrder="0" vertical="bottom"/>
    </xf>
    <xf borderId="1" fillId="6" fontId="5" numFmtId="49" xfId="0" applyAlignment="1" applyBorder="1" applyFont="1" applyNumberFormat="1">
      <alignment horizontal="center" vertical="bottom"/>
    </xf>
    <xf borderId="2" fillId="0" fontId="9" numFmtId="49" xfId="0" applyAlignment="1" applyBorder="1" applyFont="1" applyNumberFormat="1">
      <alignment horizontal="center" readingOrder="0" vertical="bottom"/>
    </xf>
    <xf borderId="0" fillId="7" fontId="2" numFmtId="0" xfId="0" applyAlignment="1" applyFont="1">
      <alignment horizontal="center" readingOrder="0" vertical="bottom"/>
    </xf>
    <xf borderId="1" fillId="0" fontId="14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vertical="bottom"/>
    </xf>
    <xf borderId="0" fillId="7" fontId="3" numFmtId="0" xfId="0" applyAlignment="1" applyFont="1">
      <alignment horizontal="center"/>
    </xf>
    <xf borderId="1" fillId="7" fontId="3" numFmtId="0" xfId="0" applyAlignment="1" applyBorder="1" applyFont="1">
      <alignment horizontal="center" readingOrder="0"/>
    </xf>
    <xf borderId="2" fillId="7" fontId="5" numFmtId="49" xfId="0" applyAlignment="1" applyBorder="1" applyFont="1" applyNumberForma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/>
    </xf>
    <xf borderId="2" fillId="7" fontId="3" numFmtId="49" xfId="0" applyAlignment="1" applyBorder="1" applyFont="1" applyNumberFormat="1">
      <alignment horizontal="center" readingOrder="0" vertical="bottom"/>
    </xf>
    <xf borderId="1" fillId="7" fontId="9" numFmtId="0" xfId="0" applyAlignment="1" applyBorder="1" applyFont="1">
      <alignment horizontal="center"/>
    </xf>
    <xf borderId="1" fillId="7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3" fontId="4" numFmtId="0" xfId="0" applyAlignment="1" applyBorder="1" applyFont="1">
      <alignment horizontal="center" readingOrder="0"/>
    </xf>
    <xf borderId="2" fillId="0" fontId="2" numFmtId="49" xfId="0" applyAlignment="1" applyBorder="1" applyFont="1" applyNumberForma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20" numFmtId="0" xfId="0" applyFont="1"/>
    <xf borderId="1" fillId="6" fontId="17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7" fontId="3" numFmtId="49" xfId="0" applyAlignment="1" applyBorder="1" applyFont="1" applyNumberFormat="1">
      <alignment horizontal="center" readingOrder="0" vertical="bottom"/>
    </xf>
    <xf borderId="1" fillId="7" fontId="7" numFmtId="0" xfId="0" applyAlignment="1" applyBorder="1" applyFont="1">
      <alignment horizontal="center" vertical="bottom"/>
    </xf>
    <xf borderId="1" fillId="4" fontId="7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35.75"/>
    <col customWidth="1" min="3" max="3" width="14.5"/>
    <col customWidth="1" min="4" max="4" width="14.75"/>
    <col customWidth="1" min="6" max="6" width="14.0"/>
    <col customWidth="1" min="7" max="7" width="26.13"/>
    <col customWidth="1" min="8" max="8" width="14.63"/>
    <col customWidth="1" min="10" max="40" width="3.38"/>
    <col customWidth="1" min="41" max="41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10</v>
      </c>
    </row>
    <row r="2">
      <c r="A2" s="4" t="s">
        <v>11</v>
      </c>
      <c r="B2" s="5" t="s">
        <v>12</v>
      </c>
      <c r="C2" s="7" t="s">
        <v>15</v>
      </c>
      <c r="D2" s="9" t="s">
        <v>17</v>
      </c>
      <c r="E2" s="11">
        <v>46035.0</v>
      </c>
      <c r="F2" s="5" t="s">
        <v>19</v>
      </c>
      <c r="G2" s="12" t="s">
        <v>21</v>
      </c>
      <c r="H2" s="12" t="s">
        <v>24</v>
      </c>
      <c r="I2" s="13" t="s">
        <v>27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9">
        <v>0.0</v>
      </c>
    </row>
    <row r="3">
      <c r="A3" s="20" t="s">
        <v>31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</row>
    <row r="4">
      <c r="A4" s="23" t="s">
        <v>35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</row>
    <row r="5">
      <c r="A5" s="8" t="s">
        <v>16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"ECONOMUS,CABESP,ALICE SAÚDE,VIVEST,PORTO SEGURO,AMAFRESP"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35.75"/>
    <col customWidth="1" min="3" max="3" width="14.5"/>
    <col customWidth="1" min="4" max="4" width="18.13"/>
    <col customWidth="1" min="6" max="6" width="14.0"/>
    <col customWidth="1" min="7" max="7" width="26.13"/>
    <col customWidth="1" min="8" max="8" width="14.63"/>
    <col customWidth="1" min="9" max="9" width="16.38"/>
    <col customWidth="1" min="10" max="40" width="3.38"/>
    <col customWidth="1" min="41" max="41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10</v>
      </c>
    </row>
    <row r="2">
      <c r="A2" s="4" t="s">
        <v>11</v>
      </c>
      <c r="B2" s="5" t="s">
        <v>13</v>
      </c>
      <c r="C2" s="7" t="s">
        <v>14</v>
      </c>
      <c r="D2" s="9" t="s">
        <v>17</v>
      </c>
      <c r="E2" s="11">
        <v>46080.0</v>
      </c>
      <c r="F2" s="5" t="s">
        <v>20</v>
      </c>
      <c r="G2" s="5" t="s">
        <v>22</v>
      </c>
      <c r="H2" s="5" t="s">
        <v>23</v>
      </c>
      <c r="I2" s="13" t="s">
        <v>25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6">
        <v>0.0</v>
      </c>
    </row>
    <row r="3">
      <c r="A3" s="18" t="s">
        <v>31</v>
      </c>
      <c r="B3" s="5" t="s">
        <v>36</v>
      </c>
      <c r="C3" s="7" t="s">
        <v>37</v>
      </c>
      <c r="D3" s="9" t="s">
        <v>17</v>
      </c>
      <c r="E3" s="11">
        <v>46077.0</v>
      </c>
      <c r="F3" s="5" t="s">
        <v>38</v>
      </c>
      <c r="G3" s="5" t="s">
        <v>39</v>
      </c>
      <c r="H3" s="5" t="s">
        <v>40</v>
      </c>
      <c r="I3" s="13" t="s">
        <v>41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6">
        <v>0.0</v>
      </c>
    </row>
    <row r="4">
      <c r="A4" s="23" t="s">
        <v>35</v>
      </c>
      <c r="B4" s="5" t="s">
        <v>18</v>
      </c>
      <c r="C4" s="7" t="s">
        <v>26</v>
      </c>
      <c r="D4" s="9" t="s">
        <v>17</v>
      </c>
      <c r="E4" s="11">
        <v>46064.0</v>
      </c>
      <c r="F4" s="5" t="s">
        <v>28</v>
      </c>
      <c r="G4" s="5" t="s">
        <v>29</v>
      </c>
      <c r="H4" s="5" t="s">
        <v>30</v>
      </c>
      <c r="I4" s="13" t="s">
        <v>25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6">
        <v>0.0</v>
      </c>
    </row>
    <row r="5">
      <c r="A5" s="8" t="s">
        <v>16</v>
      </c>
      <c r="B5" s="5" t="s">
        <v>46</v>
      </c>
      <c r="C5" s="7" t="s">
        <v>47</v>
      </c>
      <c r="D5" s="9" t="s">
        <v>17</v>
      </c>
      <c r="E5" s="11">
        <v>46077.0</v>
      </c>
      <c r="F5" s="5" t="s">
        <v>48</v>
      </c>
      <c r="G5" s="5" t="s">
        <v>49</v>
      </c>
      <c r="H5" s="5" t="s">
        <v>50</v>
      </c>
      <c r="I5" s="13" t="s">
        <v>41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6">
        <v>0.0</v>
      </c>
    </row>
    <row r="6">
      <c r="B6" s="5" t="s">
        <v>12</v>
      </c>
      <c r="C6" s="7" t="s">
        <v>15</v>
      </c>
      <c r="D6" s="9"/>
      <c r="E6" s="11"/>
      <c r="F6" s="5" t="s">
        <v>19</v>
      </c>
      <c r="G6" s="12" t="s">
        <v>21</v>
      </c>
      <c r="H6" s="12" t="s">
        <v>24</v>
      </c>
      <c r="I6" s="13" t="s">
        <v>27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9">
        <v>0.0</v>
      </c>
    </row>
    <row r="7">
      <c r="B7" s="6" t="s">
        <v>56</v>
      </c>
      <c r="C7" s="7" t="s">
        <v>15</v>
      </c>
      <c r="D7" s="9" t="s">
        <v>17</v>
      </c>
      <c r="E7" s="11">
        <v>46057.0</v>
      </c>
      <c r="F7" s="5" t="s">
        <v>38</v>
      </c>
      <c r="G7" s="5" t="s">
        <v>59</v>
      </c>
      <c r="H7" s="5" t="s">
        <v>60</v>
      </c>
      <c r="I7" s="13" t="s">
        <v>41</v>
      </c>
      <c r="J7" s="14"/>
      <c r="K7" s="14"/>
      <c r="L7" s="14"/>
      <c r="M7" s="1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26"/>
      <c r="AC7" s="26"/>
      <c r="AD7" s="26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6">
        <v>0.0</v>
      </c>
    </row>
    <row r="8">
      <c r="B8" s="5" t="s">
        <v>61</v>
      </c>
      <c r="C8" s="7" t="s">
        <v>14</v>
      </c>
      <c r="D8" s="9" t="s">
        <v>17</v>
      </c>
      <c r="E8" s="11">
        <v>46062.0</v>
      </c>
      <c r="F8" s="5" t="s">
        <v>62</v>
      </c>
      <c r="G8" s="5" t="s">
        <v>63</v>
      </c>
      <c r="H8" s="5" t="s">
        <v>64</v>
      </c>
      <c r="I8" s="13" t="s">
        <v>25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9">
        <v>0.0</v>
      </c>
    </row>
    <row r="9">
      <c r="B9" s="28" t="s">
        <v>74</v>
      </c>
      <c r="C9" s="7" t="s">
        <v>14</v>
      </c>
      <c r="D9" s="9" t="s">
        <v>17</v>
      </c>
      <c r="E9" s="11">
        <v>46062.0</v>
      </c>
      <c r="F9" s="5" t="s">
        <v>77</v>
      </c>
      <c r="G9" s="5" t="s">
        <v>78</v>
      </c>
      <c r="H9" s="5" t="s">
        <v>79</v>
      </c>
      <c r="I9" s="13" t="s">
        <v>25</v>
      </c>
      <c r="J9" s="14"/>
      <c r="K9" s="14"/>
      <c r="L9" s="14"/>
      <c r="M9" s="14"/>
      <c r="N9" s="14"/>
      <c r="O9" s="14"/>
      <c r="P9" s="14"/>
      <c r="Q9" s="14"/>
      <c r="R9" s="14"/>
      <c r="S9" s="15"/>
      <c r="T9" s="26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9">
        <v>0.0</v>
      </c>
    </row>
    <row r="10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</sheetData>
  <dataValidations>
    <dataValidation type="list" allowBlank="1" showErrorMessage="1" sqref="I2:I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9">
      <formula1>"ECONOMUS,CABESP,ALICE SAÚDE,VIVEST,PORTO SEGURO,AMAFRESP,UNIMED,AFRESP"</formula1>
    </dataValidation>
    <dataValidation type="list" allowBlank="1" showErrorMessage="1" sqref="D2:D9">
      <formula1>"NOVO PACIENTE,READMISSÃO,TROCA,INTENSIFICAÇÃO,DESMAME,COBERTURA,REVEZAMENTO"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88"/>
    <col customWidth="1" min="2" max="2" width="38.5"/>
    <col customWidth="1" min="3" max="3" width="14.5"/>
    <col customWidth="1" min="4" max="4" width="19.5"/>
    <col customWidth="1" min="6" max="6" width="18.25"/>
    <col customWidth="1" min="7" max="7" width="32.75"/>
    <col customWidth="1" min="8" max="8" width="14.63"/>
    <col customWidth="1" min="9" max="9" width="15.25"/>
    <col customWidth="1" min="10" max="40" width="3.38"/>
    <col customWidth="1" min="41" max="41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10</v>
      </c>
    </row>
    <row r="2">
      <c r="A2" s="4" t="s">
        <v>11</v>
      </c>
      <c r="B2" s="6" t="s">
        <v>13</v>
      </c>
      <c r="C2" s="7" t="s">
        <v>14</v>
      </c>
      <c r="D2" s="9"/>
      <c r="E2" s="11"/>
      <c r="F2" s="5" t="s">
        <v>20</v>
      </c>
      <c r="G2" s="5" t="s">
        <v>22</v>
      </c>
      <c r="H2" s="5" t="s">
        <v>23</v>
      </c>
      <c r="I2" s="13" t="s">
        <v>25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6">
        <v>0.0</v>
      </c>
    </row>
    <row r="3">
      <c r="A3" s="18" t="s">
        <v>31</v>
      </c>
      <c r="B3" s="6" t="s">
        <v>13</v>
      </c>
      <c r="C3" s="7" t="s">
        <v>14</v>
      </c>
      <c r="D3" s="9"/>
      <c r="E3" s="11"/>
      <c r="F3" s="5" t="s">
        <v>20</v>
      </c>
      <c r="G3" s="5" t="s">
        <v>32</v>
      </c>
      <c r="H3" s="5" t="s">
        <v>33</v>
      </c>
      <c r="I3" s="13" t="s">
        <v>25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>
        <v>0.0</v>
      </c>
    </row>
    <row r="4">
      <c r="A4" s="23" t="s">
        <v>35</v>
      </c>
      <c r="B4" s="24" t="s">
        <v>36</v>
      </c>
      <c r="C4" s="7" t="s">
        <v>37</v>
      </c>
      <c r="D4" s="9"/>
      <c r="E4" s="11"/>
      <c r="F4" s="5" t="s">
        <v>38</v>
      </c>
      <c r="G4" s="5" t="s">
        <v>39</v>
      </c>
      <c r="H4" s="5" t="s">
        <v>40</v>
      </c>
      <c r="I4" s="13" t="s">
        <v>41</v>
      </c>
      <c r="J4" s="14"/>
      <c r="K4" s="14"/>
      <c r="L4" s="14"/>
      <c r="M4" s="14"/>
      <c r="N4" s="14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16">
        <v>0.0</v>
      </c>
    </row>
    <row r="5">
      <c r="A5" s="8" t="s">
        <v>16</v>
      </c>
      <c r="B5" s="5" t="s">
        <v>18</v>
      </c>
      <c r="C5" s="7" t="s">
        <v>26</v>
      </c>
      <c r="D5" s="9"/>
      <c r="E5" s="11"/>
      <c r="F5" s="5" t="s">
        <v>28</v>
      </c>
      <c r="G5" s="5" t="s">
        <v>29</v>
      </c>
      <c r="H5" s="5" t="s">
        <v>30</v>
      </c>
      <c r="I5" s="13" t="s">
        <v>25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6">
        <v>0.0</v>
      </c>
    </row>
    <row r="6">
      <c r="B6" s="24" t="s">
        <v>46</v>
      </c>
      <c r="C6" s="7" t="s">
        <v>47</v>
      </c>
      <c r="D6" s="9"/>
      <c r="E6" s="11"/>
      <c r="F6" s="5" t="s">
        <v>48</v>
      </c>
      <c r="G6" s="5" t="s">
        <v>49</v>
      </c>
      <c r="H6" s="5" t="s">
        <v>50</v>
      </c>
      <c r="I6" s="13" t="s">
        <v>41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25"/>
      <c r="AG6" s="25"/>
      <c r="AH6" s="25"/>
      <c r="AI6" s="25"/>
      <c r="AJ6" s="25"/>
      <c r="AK6" s="25"/>
      <c r="AL6" s="25"/>
      <c r="AM6" s="25"/>
      <c r="AN6" s="25"/>
      <c r="AO6" s="16">
        <v>0.0</v>
      </c>
    </row>
    <row r="7">
      <c r="B7" s="5" t="s">
        <v>12</v>
      </c>
      <c r="C7" s="7" t="s">
        <v>15</v>
      </c>
      <c r="D7" s="9"/>
      <c r="E7" s="11"/>
      <c r="F7" s="5" t="s">
        <v>19</v>
      </c>
      <c r="G7" s="12" t="s">
        <v>21</v>
      </c>
      <c r="H7" s="12" t="s">
        <v>24</v>
      </c>
      <c r="I7" s="13" t="s">
        <v>27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9">
        <v>0.0</v>
      </c>
    </row>
    <row r="8">
      <c r="B8" s="28" t="s">
        <v>42</v>
      </c>
      <c r="C8" s="7"/>
      <c r="D8" s="9" t="s">
        <v>17</v>
      </c>
      <c r="E8" s="11">
        <v>46107.0</v>
      </c>
      <c r="F8" s="5" t="s">
        <v>43</v>
      </c>
      <c r="G8" s="5" t="s">
        <v>44</v>
      </c>
      <c r="H8" s="5" t="s">
        <v>45</v>
      </c>
      <c r="I8" s="13" t="s">
        <v>25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16"/>
    </row>
    <row r="9">
      <c r="B9" s="28" t="s">
        <v>42</v>
      </c>
      <c r="C9" s="7"/>
      <c r="D9" s="9" t="s">
        <v>17</v>
      </c>
      <c r="E9" s="11">
        <v>46107.0</v>
      </c>
      <c r="F9" s="5" t="s">
        <v>43</v>
      </c>
      <c r="G9" s="5" t="s">
        <v>51</v>
      </c>
      <c r="H9" s="5" t="s">
        <v>52</v>
      </c>
      <c r="I9" s="13" t="s">
        <v>25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16"/>
    </row>
    <row r="10">
      <c r="B10" s="28" t="s">
        <v>56</v>
      </c>
      <c r="C10" s="7" t="s">
        <v>15</v>
      </c>
      <c r="D10" s="9" t="s">
        <v>71</v>
      </c>
      <c r="E10" s="11">
        <v>46087.0</v>
      </c>
      <c r="F10" s="5" t="s">
        <v>38</v>
      </c>
      <c r="G10" s="5" t="s">
        <v>59</v>
      </c>
      <c r="H10" s="5" t="s">
        <v>60</v>
      </c>
      <c r="I10" s="13" t="s">
        <v>41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16">
        <v>0.0</v>
      </c>
    </row>
    <row r="11">
      <c r="B11" s="28" t="s">
        <v>61</v>
      </c>
      <c r="C11" s="7" t="s">
        <v>14</v>
      </c>
      <c r="D11" s="9"/>
      <c r="E11" s="11"/>
      <c r="F11" s="5" t="s">
        <v>62</v>
      </c>
      <c r="G11" s="5" t="s">
        <v>63</v>
      </c>
      <c r="H11" s="5" t="s">
        <v>64</v>
      </c>
      <c r="I11" s="13" t="s">
        <v>25</v>
      </c>
      <c r="J11" s="14"/>
      <c r="K11" s="14"/>
      <c r="L11" s="14"/>
      <c r="M11" s="15"/>
      <c r="N11" s="15"/>
      <c r="O11" s="15"/>
      <c r="P11" s="15"/>
      <c r="Q11" s="15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19">
        <v>0.0</v>
      </c>
    </row>
    <row r="12">
      <c r="B12" s="10" t="s">
        <v>74</v>
      </c>
      <c r="C12" s="7" t="s">
        <v>14</v>
      </c>
      <c r="D12" s="9"/>
      <c r="E12" s="11"/>
      <c r="F12" s="5" t="s">
        <v>77</v>
      </c>
      <c r="G12" s="5" t="s">
        <v>78</v>
      </c>
      <c r="H12" s="49" t="s">
        <v>79</v>
      </c>
      <c r="I12" s="13" t="s">
        <v>25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9">
        <v>0.0</v>
      </c>
    </row>
    <row r="13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6">
      <c r="B16" s="46"/>
    </row>
  </sheetData>
  <dataValidations>
    <dataValidation type="list" allowBlank="1" showErrorMessage="1" sqref="I2:I12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2">
      <formula1>"ECONOMUS,CABESP,ALICE SAÚDE,VIVEST,PORTO SEGURO,AMAFRESP,UNIMED,AFRESP"</formula1>
    </dataValidation>
    <dataValidation type="list" allowBlank="1" showErrorMessage="1" sqref="D2:D12">
      <formula1>"NOVO PACIENTE,READMISSÃO,TROCA,INTENSIFICAÇÃO,DESMAME,COBERTURA,REVEZAMENTO"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88"/>
    <col customWidth="1" min="2" max="2" width="38.5"/>
    <col customWidth="1" min="3" max="3" width="14.88"/>
    <col customWidth="1" min="4" max="4" width="19.5"/>
    <col customWidth="1" min="6" max="6" width="18.25"/>
    <col customWidth="1" min="7" max="7" width="32.75"/>
    <col customWidth="1" min="8" max="8" width="14.63"/>
    <col customWidth="1" min="9" max="9" width="15.25"/>
    <col customWidth="1" min="10" max="40" width="3.38"/>
    <col customWidth="1" min="41" max="41" width="9.25"/>
  </cols>
  <sheetData>
    <row r="1">
      <c r="A1" s="3" t="s">
        <v>4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10</v>
      </c>
    </row>
    <row r="2">
      <c r="A2" s="8" t="s">
        <v>16</v>
      </c>
      <c r="B2" s="10" t="s">
        <v>18</v>
      </c>
      <c r="C2" s="7" t="s">
        <v>26</v>
      </c>
      <c r="D2" s="9"/>
      <c r="E2" s="11"/>
      <c r="F2" s="5" t="s">
        <v>28</v>
      </c>
      <c r="G2" s="5" t="s">
        <v>29</v>
      </c>
      <c r="H2" s="5" t="s">
        <v>30</v>
      </c>
      <c r="I2" s="13" t="s">
        <v>25</v>
      </c>
      <c r="J2" s="14"/>
      <c r="K2" s="14"/>
      <c r="L2" s="14"/>
      <c r="M2" s="14"/>
      <c r="N2" s="14"/>
      <c r="O2" s="14"/>
      <c r="P2" s="14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6">
        <v>0.0</v>
      </c>
    </row>
    <row r="3">
      <c r="A3" s="22" t="s">
        <v>34</v>
      </c>
      <c r="B3" s="5" t="s">
        <v>12</v>
      </c>
      <c r="C3" s="7" t="s">
        <v>15</v>
      </c>
      <c r="D3" s="9"/>
      <c r="E3" s="11"/>
      <c r="F3" s="5" t="s">
        <v>19</v>
      </c>
      <c r="G3" s="12" t="s">
        <v>21</v>
      </c>
      <c r="H3" s="12" t="s">
        <v>24</v>
      </c>
      <c r="I3" s="13" t="s">
        <v>27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9">
        <v>0.0</v>
      </c>
    </row>
    <row r="4">
      <c r="A4" s="4" t="s">
        <v>11</v>
      </c>
      <c r="B4" s="6" t="s">
        <v>42</v>
      </c>
      <c r="C4" s="7"/>
      <c r="D4" s="9"/>
      <c r="E4" s="11"/>
      <c r="F4" s="5" t="s">
        <v>43</v>
      </c>
      <c r="G4" s="5" t="s">
        <v>44</v>
      </c>
      <c r="H4" s="5" t="s">
        <v>45</v>
      </c>
      <c r="I4" s="13" t="s">
        <v>25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16"/>
    </row>
    <row r="5">
      <c r="A5" s="18" t="s">
        <v>31</v>
      </c>
      <c r="B5" s="6" t="s">
        <v>42</v>
      </c>
      <c r="C5" s="7"/>
      <c r="D5" s="9"/>
      <c r="E5" s="11"/>
      <c r="F5" s="5" t="s">
        <v>43</v>
      </c>
      <c r="G5" s="27" t="s">
        <v>51</v>
      </c>
      <c r="H5" s="27" t="s">
        <v>52</v>
      </c>
      <c r="I5" s="13" t="s">
        <v>25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26"/>
      <c r="AC5" s="26"/>
      <c r="AD5" s="26"/>
      <c r="AE5" s="26"/>
      <c r="AF5" s="26"/>
      <c r="AG5" s="26"/>
      <c r="AH5" s="15"/>
      <c r="AI5" s="15"/>
      <c r="AJ5" s="15"/>
      <c r="AK5" s="15"/>
      <c r="AL5" s="15"/>
      <c r="AM5" s="15"/>
      <c r="AN5" s="15"/>
      <c r="AO5" s="16"/>
    </row>
    <row r="6">
      <c r="B6" s="28" t="s">
        <v>56</v>
      </c>
      <c r="C6" s="7" t="s">
        <v>15</v>
      </c>
      <c r="D6" s="9"/>
      <c r="E6" s="11"/>
      <c r="F6" s="5" t="s">
        <v>38</v>
      </c>
      <c r="G6" s="5" t="s">
        <v>59</v>
      </c>
      <c r="H6" s="5" t="s">
        <v>60</v>
      </c>
      <c r="I6" s="13" t="s">
        <v>41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26"/>
      <c r="AC6" s="26"/>
      <c r="AD6" s="26"/>
      <c r="AE6" s="26"/>
      <c r="AF6" s="26"/>
      <c r="AG6" s="26"/>
      <c r="AH6" s="15"/>
      <c r="AI6" s="15"/>
      <c r="AJ6" s="15"/>
      <c r="AK6" s="15"/>
      <c r="AL6" s="15"/>
      <c r="AM6" s="15"/>
      <c r="AN6" s="15"/>
      <c r="AO6" s="16">
        <v>0.0</v>
      </c>
    </row>
    <row r="7">
      <c r="B7" s="28" t="s">
        <v>61</v>
      </c>
      <c r="C7" s="7" t="s">
        <v>14</v>
      </c>
      <c r="D7" s="9"/>
      <c r="E7" s="11"/>
      <c r="F7" s="5" t="s">
        <v>62</v>
      </c>
      <c r="G7" s="5" t="s">
        <v>63</v>
      </c>
      <c r="H7" s="5" t="s">
        <v>64</v>
      </c>
      <c r="I7" s="13" t="s">
        <v>25</v>
      </c>
      <c r="J7" s="14"/>
      <c r="K7" s="14"/>
      <c r="L7" s="14"/>
      <c r="M7" s="15"/>
      <c r="N7" s="15"/>
      <c r="O7" s="15"/>
      <c r="P7" s="15"/>
      <c r="Q7" s="15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19">
        <v>0.0</v>
      </c>
    </row>
    <row r="8">
      <c r="B8" s="40" t="s">
        <v>70</v>
      </c>
      <c r="C8" s="14"/>
      <c r="D8" s="9" t="s">
        <v>17</v>
      </c>
      <c r="E8" s="41">
        <v>46122.0</v>
      </c>
      <c r="F8" s="5" t="s">
        <v>38</v>
      </c>
      <c r="G8" s="40" t="s">
        <v>72</v>
      </c>
      <c r="H8" s="40" t="s">
        <v>73</v>
      </c>
      <c r="I8" s="13" t="s">
        <v>69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</row>
    <row r="11">
      <c r="B11" s="46"/>
    </row>
  </sheetData>
  <dataValidations>
    <dataValidation type="list" allowBlank="1" showErrorMessage="1" sqref="I2:I8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7">
      <formula1>"ECONOMUS,CABESP,ALICE SAÚDE,VIVEST,PORTO SEGURO,AMAFRESP,UNIMED,AFRESP"</formula1>
    </dataValidation>
    <dataValidation type="list" allowBlank="1" showErrorMessage="1" sqref="D2:D8">
      <formula1>"NOVO PACIENTE,READMISSÃO,TROCA,INTENSIFICAÇÃO,DESMAME,COBERTURA,REVEZAMENTO"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88"/>
    <col customWidth="1" min="2" max="2" width="38.5"/>
    <col customWidth="1" min="3" max="3" width="14.88"/>
    <col customWidth="1" min="4" max="4" width="19.5"/>
    <col customWidth="1" min="6" max="6" width="18.25"/>
    <col customWidth="1" min="7" max="7" width="32.75"/>
    <col customWidth="1" min="8" max="8" width="14.63"/>
    <col customWidth="1" min="9" max="9" width="15.25"/>
    <col customWidth="1" min="10" max="40" width="3.38"/>
    <col customWidth="1" min="41" max="43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10</v>
      </c>
      <c r="AP1" s="3" t="s">
        <v>53</v>
      </c>
      <c r="AQ1" s="3" t="s">
        <v>54</v>
      </c>
    </row>
    <row r="2">
      <c r="A2" s="22" t="s">
        <v>34</v>
      </c>
      <c r="B2" s="5" t="s">
        <v>55</v>
      </c>
      <c r="C2" s="7"/>
      <c r="D2" s="9" t="s">
        <v>17</v>
      </c>
      <c r="E2" s="11">
        <v>46156.0</v>
      </c>
      <c r="F2" s="5" t="s">
        <v>38</v>
      </c>
      <c r="G2" s="29" t="s">
        <v>57</v>
      </c>
      <c r="H2" s="29" t="s">
        <v>58</v>
      </c>
      <c r="I2" s="13" t="s">
        <v>25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30">
        <v>1.0</v>
      </c>
      <c r="AC2" s="14"/>
      <c r="AD2" s="14"/>
      <c r="AE2" s="14"/>
      <c r="AF2" s="14"/>
      <c r="AG2" s="14"/>
      <c r="AH2" s="14"/>
      <c r="AI2" s="14"/>
      <c r="AJ2" s="14"/>
      <c r="AK2" s="14"/>
      <c r="AL2" s="30">
        <v>1.0</v>
      </c>
      <c r="AM2" s="14"/>
      <c r="AN2" s="14"/>
      <c r="AO2" s="19">
        <f t="shared" ref="AO2:AO10" si="1">SUM(J2:AN2)</f>
        <v>2</v>
      </c>
      <c r="AP2" s="19"/>
      <c r="AQ2" s="16" t="s">
        <v>65</v>
      </c>
    </row>
    <row r="3">
      <c r="A3" s="4" t="s">
        <v>11</v>
      </c>
      <c r="B3" s="31" t="s">
        <v>66</v>
      </c>
      <c r="C3" s="32"/>
      <c r="D3" s="33" t="s">
        <v>17</v>
      </c>
      <c r="E3" s="34">
        <v>46156.0</v>
      </c>
      <c r="F3" s="35" t="s">
        <v>38</v>
      </c>
      <c r="G3" s="36" t="s">
        <v>67</v>
      </c>
      <c r="H3" s="36" t="s">
        <v>68</v>
      </c>
      <c r="I3" s="37" t="s">
        <v>69</v>
      </c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>
        <v>1.0</v>
      </c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19">
        <f t="shared" si="1"/>
        <v>1</v>
      </c>
      <c r="AP3" s="16" t="s">
        <v>75</v>
      </c>
      <c r="AQ3" s="16" t="s">
        <v>65</v>
      </c>
    </row>
    <row r="4">
      <c r="A4" s="42" t="s">
        <v>76</v>
      </c>
      <c r="B4" s="43" t="s">
        <v>66</v>
      </c>
      <c r="C4" s="44"/>
      <c r="D4" s="9"/>
      <c r="E4" s="45"/>
      <c r="F4" s="35" t="s">
        <v>38</v>
      </c>
      <c r="G4" s="36" t="s">
        <v>67</v>
      </c>
      <c r="H4" s="36" t="s">
        <v>68</v>
      </c>
      <c r="I4" s="13" t="s">
        <v>25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30">
        <v>1.0</v>
      </c>
      <c r="AF4" s="14"/>
      <c r="AG4" s="14"/>
      <c r="AH4" s="30">
        <v>1.0</v>
      </c>
      <c r="AI4" s="14"/>
      <c r="AJ4" s="47">
        <v>1.0</v>
      </c>
      <c r="AK4" s="26"/>
      <c r="AL4" s="47">
        <v>1.0</v>
      </c>
      <c r="AM4" s="26"/>
      <c r="AN4" s="26"/>
      <c r="AO4" s="19">
        <f t="shared" si="1"/>
        <v>4</v>
      </c>
      <c r="AP4" s="19"/>
      <c r="AQ4" s="16" t="s">
        <v>65</v>
      </c>
    </row>
    <row r="5">
      <c r="A5" s="48" t="s">
        <v>16</v>
      </c>
      <c r="B5" s="5" t="s">
        <v>12</v>
      </c>
      <c r="C5" s="7" t="s">
        <v>15</v>
      </c>
      <c r="D5" s="9"/>
      <c r="E5" s="11"/>
      <c r="F5" s="5" t="s">
        <v>19</v>
      </c>
      <c r="G5" s="12" t="s">
        <v>21</v>
      </c>
      <c r="H5" s="12" t="s">
        <v>24</v>
      </c>
      <c r="I5" s="13" t="s">
        <v>27</v>
      </c>
      <c r="J5" s="30">
        <v>1.0</v>
      </c>
      <c r="K5" s="30">
        <v>1.0</v>
      </c>
      <c r="L5" s="30">
        <v>1.0</v>
      </c>
      <c r="M5" s="30">
        <v>1.0</v>
      </c>
      <c r="N5" s="30">
        <v>1.0</v>
      </c>
      <c r="O5" s="30">
        <v>1.0</v>
      </c>
      <c r="P5" s="30">
        <v>1.0</v>
      </c>
      <c r="Q5" s="30">
        <v>1.0</v>
      </c>
      <c r="R5" s="30">
        <v>1.0</v>
      </c>
      <c r="S5" s="30">
        <v>1.0</v>
      </c>
      <c r="T5" s="30">
        <v>1.0</v>
      </c>
      <c r="U5" s="30">
        <v>1.0</v>
      </c>
      <c r="V5" s="30">
        <v>1.0</v>
      </c>
      <c r="W5" s="30">
        <v>1.0</v>
      </c>
      <c r="X5" s="30">
        <v>1.0</v>
      </c>
      <c r="Y5" s="30">
        <v>1.0</v>
      </c>
      <c r="Z5" s="30">
        <v>1.0</v>
      </c>
      <c r="AA5" s="30">
        <v>1.0</v>
      </c>
      <c r="AB5" s="30">
        <v>1.0</v>
      </c>
      <c r="AC5" s="30">
        <v>1.0</v>
      </c>
      <c r="AD5" s="30">
        <v>1.0</v>
      </c>
      <c r="AE5" s="30">
        <v>1.0</v>
      </c>
      <c r="AF5" s="30">
        <v>1.0</v>
      </c>
      <c r="AG5" s="30">
        <v>1.0</v>
      </c>
      <c r="AH5" s="30">
        <v>1.0</v>
      </c>
      <c r="AI5" s="30">
        <v>1.0</v>
      </c>
      <c r="AJ5" s="30">
        <v>1.0</v>
      </c>
      <c r="AK5" s="30">
        <v>1.0</v>
      </c>
      <c r="AL5" s="30">
        <v>1.0</v>
      </c>
      <c r="AM5" s="30">
        <v>1.0</v>
      </c>
      <c r="AN5" s="30">
        <v>1.0</v>
      </c>
      <c r="AO5" s="19">
        <f t="shared" si="1"/>
        <v>31</v>
      </c>
      <c r="AP5" s="19"/>
      <c r="AQ5" s="16" t="s">
        <v>65</v>
      </c>
    </row>
    <row r="6">
      <c r="A6" s="50"/>
      <c r="B6" s="28" t="s">
        <v>42</v>
      </c>
      <c r="C6" s="7"/>
      <c r="D6" s="9" t="s">
        <v>71</v>
      </c>
      <c r="E6" s="11">
        <v>46153.0</v>
      </c>
      <c r="F6" s="5" t="s">
        <v>43</v>
      </c>
      <c r="G6" s="5" t="s">
        <v>44</v>
      </c>
      <c r="H6" s="5" t="s">
        <v>45</v>
      </c>
      <c r="I6" s="13" t="s">
        <v>25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30">
        <v>1.0</v>
      </c>
      <c r="W6" s="14"/>
      <c r="X6" s="14"/>
      <c r="Y6" s="14"/>
      <c r="Z6" s="14"/>
      <c r="AA6" s="30">
        <v>1.0</v>
      </c>
      <c r="AB6" s="26"/>
      <c r="AC6" s="26"/>
      <c r="AD6" s="26"/>
      <c r="AE6" s="26"/>
      <c r="AF6" s="26"/>
      <c r="AG6" s="26"/>
      <c r="AH6" s="47">
        <v>1.0</v>
      </c>
      <c r="AI6" s="26"/>
      <c r="AJ6" s="47">
        <v>1.0</v>
      </c>
      <c r="AK6" s="26"/>
      <c r="AL6" s="26"/>
      <c r="AM6" s="26"/>
      <c r="AN6" s="26"/>
      <c r="AO6" s="19">
        <f t="shared" si="1"/>
        <v>4</v>
      </c>
      <c r="AP6" s="16" t="s">
        <v>80</v>
      </c>
      <c r="AQ6" s="16" t="s">
        <v>65</v>
      </c>
    </row>
    <row r="7">
      <c r="A7" s="52"/>
      <c r="B7" s="53" t="s">
        <v>81</v>
      </c>
      <c r="C7" s="7"/>
      <c r="D7" s="9" t="s">
        <v>17</v>
      </c>
      <c r="E7" s="11">
        <v>46160.0</v>
      </c>
      <c r="F7" s="5" t="s">
        <v>82</v>
      </c>
      <c r="G7" s="56" t="s">
        <v>83</v>
      </c>
      <c r="H7" s="58" t="s">
        <v>84</v>
      </c>
      <c r="I7" s="13" t="s">
        <v>41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14"/>
      <c r="AB7" s="26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19">
        <f t="shared" si="1"/>
        <v>0</v>
      </c>
      <c r="AP7" s="16" t="s">
        <v>80</v>
      </c>
      <c r="AQ7" s="16" t="s">
        <v>65</v>
      </c>
    </row>
    <row r="8" ht="17.25" customHeight="1">
      <c r="A8" s="52"/>
      <c r="B8" s="28" t="s">
        <v>56</v>
      </c>
      <c r="C8" s="7" t="s">
        <v>15</v>
      </c>
      <c r="D8" s="9"/>
      <c r="E8" s="11"/>
      <c r="F8" s="5" t="s">
        <v>38</v>
      </c>
      <c r="G8" s="5" t="s">
        <v>59</v>
      </c>
      <c r="H8" s="5" t="s">
        <v>60</v>
      </c>
      <c r="I8" s="13" t="s">
        <v>41</v>
      </c>
      <c r="J8" s="14"/>
      <c r="K8" s="14"/>
      <c r="L8" s="14"/>
      <c r="M8" s="30">
        <v>1.0</v>
      </c>
      <c r="N8" s="30">
        <v>1.0</v>
      </c>
      <c r="O8" s="30">
        <v>1.0</v>
      </c>
      <c r="P8" s="30">
        <v>1.0</v>
      </c>
      <c r="Q8" s="30">
        <v>1.0</v>
      </c>
      <c r="R8" s="14"/>
      <c r="S8" s="14"/>
      <c r="T8" s="14"/>
      <c r="U8" s="30">
        <v>1.0</v>
      </c>
      <c r="V8" s="30">
        <v>1.0</v>
      </c>
      <c r="W8" s="30">
        <v>1.0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26"/>
      <c r="AM8" s="26"/>
      <c r="AN8" s="26"/>
      <c r="AO8" s="19">
        <f t="shared" si="1"/>
        <v>8</v>
      </c>
      <c r="AP8" s="16"/>
      <c r="AQ8" s="16" t="s">
        <v>65</v>
      </c>
    </row>
    <row r="9">
      <c r="A9" s="50"/>
      <c r="B9" s="28" t="s">
        <v>61</v>
      </c>
      <c r="C9" s="7" t="s">
        <v>14</v>
      </c>
      <c r="D9" s="9"/>
      <c r="E9" s="11"/>
      <c r="F9" s="5" t="s">
        <v>62</v>
      </c>
      <c r="G9" s="5" t="s">
        <v>63</v>
      </c>
      <c r="H9" s="5" t="s">
        <v>64</v>
      </c>
      <c r="I9" s="13" t="s">
        <v>25</v>
      </c>
      <c r="J9" s="14"/>
      <c r="K9" s="14"/>
      <c r="L9" s="14"/>
      <c r="M9" s="47">
        <v>1.0</v>
      </c>
      <c r="N9" s="26"/>
      <c r="O9" s="47">
        <v>1.0</v>
      </c>
      <c r="P9" s="26"/>
      <c r="Q9" s="47">
        <v>1.0</v>
      </c>
      <c r="R9" s="26"/>
      <c r="S9" s="26"/>
      <c r="T9" s="47">
        <v>1.0</v>
      </c>
      <c r="U9" s="26"/>
      <c r="V9" s="47">
        <v>1.0</v>
      </c>
      <c r="W9" s="26"/>
      <c r="X9" s="47">
        <v>1.0</v>
      </c>
      <c r="Y9" s="26"/>
      <c r="Z9" s="26"/>
      <c r="AA9" s="47">
        <v>1.0</v>
      </c>
      <c r="AB9" s="26"/>
      <c r="AC9" s="47">
        <v>1.0</v>
      </c>
      <c r="AD9" s="26"/>
      <c r="AE9" s="47">
        <v>1.0</v>
      </c>
      <c r="AF9" s="26"/>
      <c r="AG9" s="26"/>
      <c r="AH9" s="47">
        <v>1.0</v>
      </c>
      <c r="AI9" s="26"/>
      <c r="AJ9" s="47">
        <v>1.0</v>
      </c>
      <c r="AK9" s="26"/>
      <c r="AL9" s="47">
        <v>1.0</v>
      </c>
      <c r="AM9" s="26"/>
      <c r="AN9" s="26"/>
      <c r="AO9" s="19">
        <f t="shared" si="1"/>
        <v>12</v>
      </c>
      <c r="AP9" s="19"/>
      <c r="AQ9" s="16" t="s">
        <v>65</v>
      </c>
    </row>
    <row r="10">
      <c r="B10" s="67" t="s">
        <v>92</v>
      </c>
      <c r="C10" s="69"/>
      <c r="D10" s="9" t="s">
        <v>17</v>
      </c>
      <c r="E10" s="70">
        <v>46168.0</v>
      </c>
      <c r="F10" s="67" t="s">
        <v>97</v>
      </c>
      <c r="G10" s="67" t="s">
        <v>98</v>
      </c>
      <c r="H10" s="67" t="s">
        <v>99</v>
      </c>
      <c r="I10" s="13" t="s">
        <v>25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19">
        <f t="shared" si="1"/>
        <v>0</v>
      </c>
      <c r="AP10" s="19"/>
      <c r="AQ10" s="16" t="s">
        <v>65</v>
      </c>
    </row>
    <row r="11">
      <c r="B11" s="46"/>
      <c r="AP11" s="69"/>
      <c r="AQ11" s="69"/>
    </row>
  </sheetData>
  <dataValidations>
    <dataValidation type="list" allowBlank="1" showErrorMessage="1" sqref="I2:I10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9">
      <formula1>"ECONOMUS,CABESP,ALICE SAÚDE,VIVEST,PORTO SEGURO,AMAFRESP,UNIMED,AFRESP"</formula1>
    </dataValidation>
    <dataValidation type="list" allowBlank="1" showErrorMessage="1" sqref="D2:D10">
      <formula1>"NOVO PACIENTE,READMISSÃO,TROCA,INTENSIFICAÇÃO,DESMAME,COBERTURA,REVEZAMENTO"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88"/>
    <col customWidth="1" min="2" max="2" width="38.5"/>
    <col customWidth="1" min="3" max="3" width="14.88"/>
    <col customWidth="1" min="4" max="4" width="19.5"/>
    <col customWidth="1" min="6" max="6" width="18.25"/>
    <col customWidth="1" min="7" max="7" width="32.75"/>
    <col customWidth="1" min="8" max="8" width="14.63"/>
    <col customWidth="1" min="9" max="9" width="15.25"/>
    <col customWidth="1" min="10" max="40" width="3.38"/>
    <col customWidth="1" min="41" max="43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10</v>
      </c>
      <c r="AP1" s="3" t="s">
        <v>53</v>
      </c>
      <c r="AQ1" s="3" t="s">
        <v>54</v>
      </c>
    </row>
    <row r="2">
      <c r="A2" s="51" t="s">
        <v>11</v>
      </c>
      <c r="B2" s="5" t="s">
        <v>55</v>
      </c>
      <c r="C2" s="7"/>
      <c r="D2" s="9"/>
      <c r="E2" s="11"/>
      <c r="F2" s="5" t="s">
        <v>38</v>
      </c>
      <c r="G2" s="29" t="s">
        <v>57</v>
      </c>
      <c r="H2" s="55" t="s">
        <v>58</v>
      </c>
      <c r="I2" s="13" t="s">
        <v>25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9">
        <f t="shared" ref="AO2:AO6" si="1">SUM(J2:AN2)</f>
        <v>0</v>
      </c>
      <c r="AP2" s="19"/>
      <c r="AQ2" s="16" t="s">
        <v>87</v>
      </c>
    </row>
    <row r="3">
      <c r="A3" s="42" t="s">
        <v>76</v>
      </c>
      <c r="B3" s="5" t="s">
        <v>55</v>
      </c>
      <c r="C3" s="7"/>
      <c r="D3" s="9" t="s">
        <v>88</v>
      </c>
      <c r="E3" s="11">
        <v>46184.0</v>
      </c>
      <c r="F3" s="5" t="s">
        <v>38</v>
      </c>
      <c r="G3" s="55" t="s">
        <v>57</v>
      </c>
      <c r="H3" s="55" t="s">
        <v>58</v>
      </c>
      <c r="I3" s="13" t="s">
        <v>86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9">
        <f t="shared" si="1"/>
        <v>0</v>
      </c>
      <c r="AP3" s="19"/>
      <c r="AQ3" s="16" t="s">
        <v>75</v>
      </c>
    </row>
    <row r="4">
      <c r="A4" s="48" t="s">
        <v>16</v>
      </c>
      <c r="B4" s="66" t="s">
        <v>66</v>
      </c>
      <c r="C4" s="44"/>
      <c r="D4" s="9"/>
      <c r="E4" s="45"/>
      <c r="F4" s="35" t="s">
        <v>38</v>
      </c>
      <c r="G4" s="36" t="s">
        <v>67</v>
      </c>
      <c r="H4" s="36" t="s">
        <v>68</v>
      </c>
      <c r="I4" s="13" t="s">
        <v>25</v>
      </c>
      <c r="J4" s="26"/>
      <c r="K4" s="26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9">
        <f t="shared" si="1"/>
        <v>0</v>
      </c>
      <c r="AP4" s="19"/>
      <c r="AQ4" s="16" t="s">
        <v>100</v>
      </c>
    </row>
    <row r="5">
      <c r="A5" s="72" t="s">
        <v>34</v>
      </c>
      <c r="B5" s="5" t="s">
        <v>93</v>
      </c>
      <c r="C5" s="44"/>
      <c r="D5" s="9" t="s">
        <v>17</v>
      </c>
      <c r="E5" s="11">
        <v>46185.0</v>
      </c>
      <c r="F5" s="5" t="s">
        <v>94</v>
      </c>
      <c r="G5" s="5" t="s">
        <v>101</v>
      </c>
      <c r="H5" s="73" t="s">
        <v>102</v>
      </c>
      <c r="I5" s="13" t="s">
        <v>69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9">
        <f t="shared" si="1"/>
        <v>0</v>
      </c>
      <c r="AP5" s="19"/>
      <c r="AQ5" s="16" t="s">
        <v>106</v>
      </c>
    </row>
    <row r="6">
      <c r="A6" s="81"/>
      <c r="B6" s="5" t="s">
        <v>93</v>
      </c>
      <c r="C6" s="44"/>
      <c r="D6" s="9" t="s">
        <v>17</v>
      </c>
      <c r="E6" s="11">
        <v>46188.0</v>
      </c>
      <c r="F6" s="5" t="s">
        <v>94</v>
      </c>
      <c r="G6" s="5" t="s">
        <v>95</v>
      </c>
      <c r="H6" s="5" t="s">
        <v>96</v>
      </c>
      <c r="I6" s="13" t="s">
        <v>25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9">
        <f t="shared" si="1"/>
        <v>0</v>
      </c>
      <c r="AP6" s="19"/>
      <c r="AQ6" s="16" t="s">
        <v>75</v>
      </c>
    </row>
    <row r="7">
      <c r="A7" s="81"/>
      <c r="B7" s="5" t="s">
        <v>93</v>
      </c>
      <c r="C7" s="44"/>
      <c r="D7" s="9" t="s">
        <v>108</v>
      </c>
      <c r="E7" s="11">
        <v>46188.0</v>
      </c>
      <c r="F7" s="5" t="s">
        <v>94</v>
      </c>
      <c r="G7" s="5" t="s">
        <v>95</v>
      </c>
      <c r="H7" s="5" t="s">
        <v>96</v>
      </c>
      <c r="I7" s="13" t="s">
        <v>41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6">
        <v>0.0</v>
      </c>
      <c r="AP7" s="19"/>
      <c r="AQ7" s="16" t="s">
        <v>109</v>
      </c>
    </row>
    <row r="8">
      <c r="A8" s="81"/>
      <c r="B8" s="5" t="s">
        <v>12</v>
      </c>
      <c r="C8" s="7" t="s">
        <v>15</v>
      </c>
      <c r="D8" s="9"/>
      <c r="E8" s="11"/>
      <c r="F8" s="5" t="s">
        <v>19</v>
      </c>
      <c r="G8" s="12" t="s">
        <v>21</v>
      </c>
      <c r="H8" s="12" t="s">
        <v>24</v>
      </c>
      <c r="I8" s="13" t="s">
        <v>27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9">
        <f>SUM(J8:AN8)</f>
        <v>0</v>
      </c>
      <c r="AP8" s="19"/>
      <c r="AQ8" s="16" t="s">
        <v>110</v>
      </c>
    </row>
    <row r="9">
      <c r="A9" s="81"/>
      <c r="B9" s="5" t="s">
        <v>12</v>
      </c>
      <c r="C9" s="7" t="s">
        <v>15</v>
      </c>
      <c r="D9" s="9" t="s">
        <v>88</v>
      </c>
      <c r="E9" s="11">
        <v>46204.0</v>
      </c>
      <c r="F9" s="5" t="s">
        <v>19</v>
      </c>
      <c r="G9" s="12" t="s">
        <v>21</v>
      </c>
      <c r="H9" s="12" t="s">
        <v>24</v>
      </c>
      <c r="I9" s="13" t="s">
        <v>107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19"/>
      <c r="AP9" s="16"/>
      <c r="AQ9" s="16" t="s">
        <v>75</v>
      </c>
    </row>
    <row r="10">
      <c r="A10" s="81"/>
      <c r="B10" s="28" t="s">
        <v>42</v>
      </c>
      <c r="C10" s="7"/>
      <c r="D10" s="9"/>
      <c r="E10" s="11"/>
      <c r="F10" s="5" t="s">
        <v>43</v>
      </c>
      <c r="G10" s="5" t="s">
        <v>44</v>
      </c>
      <c r="H10" s="5" t="s">
        <v>45</v>
      </c>
      <c r="I10" s="13" t="s">
        <v>25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19">
        <f t="shared" ref="AO10:AO15" si="2">SUM(J10:AN10)</f>
        <v>0</v>
      </c>
      <c r="AP10" s="16"/>
      <c r="AQ10" s="16" t="s">
        <v>115</v>
      </c>
    </row>
    <row r="11" ht="17.25" customHeight="1">
      <c r="A11" s="52"/>
      <c r="B11" s="28" t="s">
        <v>56</v>
      </c>
      <c r="C11" s="7" t="s">
        <v>15</v>
      </c>
      <c r="D11" s="9"/>
      <c r="E11" s="11"/>
      <c r="F11" s="5" t="s">
        <v>38</v>
      </c>
      <c r="G11" s="5" t="s">
        <v>59</v>
      </c>
      <c r="H11" s="5" t="s">
        <v>60</v>
      </c>
      <c r="I11" s="13" t="s">
        <v>41</v>
      </c>
      <c r="J11" s="14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28"/>
      <c r="AI11" s="28"/>
      <c r="AJ11" s="28"/>
      <c r="AK11" s="28"/>
      <c r="AL11" s="28"/>
      <c r="AM11" s="28"/>
      <c r="AN11" s="28"/>
      <c r="AO11" s="19">
        <f t="shared" si="2"/>
        <v>0</v>
      </c>
      <c r="AP11" s="16"/>
      <c r="AQ11" s="16" t="s">
        <v>118</v>
      </c>
    </row>
    <row r="12">
      <c r="A12" s="50"/>
      <c r="B12" s="28" t="s">
        <v>61</v>
      </c>
      <c r="C12" s="7" t="s">
        <v>14</v>
      </c>
      <c r="D12" s="9"/>
      <c r="E12" s="11"/>
      <c r="F12" s="5" t="s">
        <v>62</v>
      </c>
      <c r="G12" s="5" t="s">
        <v>63</v>
      </c>
      <c r="H12" s="5" t="s">
        <v>64</v>
      </c>
      <c r="I12" s="13" t="s">
        <v>25</v>
      </c>
      <c r="J12" s="14"/>
      <c r="K12" s="14"/>
      <c r="L12" s="14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19">
        <f t="shared" si="2"/>
        <v>0</v>
      </c>
      <c r="AP12" s="19"/>
      <c r="AQ12" s="16" t="s">
        <v>119</v>
      </c>
    </row>
    <row r="13">
      <c r="B13" s="67" t="s">
        <v>92</v>
      </c>
      <c r="C13" s="69"/>
      <c r="D13" s="9"/>
      <c r="E13" s="70"/>
      <c r="F13" s="67" t="s">
        <v>97</v>
      </c>
      <c r="G13" s="97" t="s">
        <v>98</v>
      </c>
      <c r="H13" s="97" t="s">
        <v>99</v>
      </c>
      <c r="I13" s="13" t="s">
        <v>25</v>
      </c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19">
        <f t="shared" si="2"/>
        <v>0</v>
      </c>
      <c r="AP13" s="19"/>
      <c r="AQ13" s="19"/>
    </row>
    <row r="14">
      <c r="B14" s="67" t="s">
        <v>92</v>
      </c>
      <c r="C14" s="69"/>
      <c r="D14" s="9" t="s">
        <v>91</v>
      </c>
      <c r="E14" s="70">
        <v>46181.0</v>
      </c>
      <c r="F14" s="67" t="s">
        <v>97</v>
      </c>
      <c r="G14" s="67" t="s">
        <v>120</v>
      </c>
      <c r="H14" s="67" t="s">
        <v>121</v>
      </c>
      <c r="I14" s="13" t="s">
        <v>25</v>
      </c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19">
        <f t="shared" si="2"/>
        <v>0</v>
      </c>
      <c r="AP14" s="19"/>
      <c r="AQ14" s="16" t="s">
        <v>75</v>
      </c>
    </row>
    <row r="15">
      <c r="A15" s="91"/>
      <c r="B15" s="95" t="s">
        <v>92</v>
      </c>
      <c r="C15" s="98"/>
      <c r="D15" s="93" t="s">
        <v>91</v>
      </c>
      <c r="E15" s="94">
        <v>46188.0</v>
      </c>
      <c r="F15" s="95" t="s">
        <v>97</v>
      </c>
      <c r="G15" s="95" t="s">
        <v>116</v>
      </c>
      <c r="H15" s="95" t="s">
        <v>117</v>
      </c>
      <c r="I15" s="13" t="s">
        <v>25</v>
      </c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19">
        <f t="shared" si="2"/>
        <v>0</v>
      </c>
      <c r="AP15" s="98"/>
      <c r="AQ15" s="95" t="s">
        <v>122</v>
      </c>
    </row>
    <row r="16">
      <c r="A16" s="84"/>
      <c r="B16" s="85" t="s">
        <v>111</v>
      </c>
      <c r="C16" s="99"/>
      <c r="D16" s="86" t="s">
        <v>17</v>
      </c>
      <c r="E16" s="87">
        <v>46199.0</v>
      </c>
      <c r="F16" s="49" t="s">
        <v>112</v>
      </c>
      <c r="G16" s="35" t="s">
        <v>95</v>
      </c>
      <c r="H16" s="35" t="s">
        <v>96</v>
      </c>
      <c r="I16" s="88" t="s">
        <v>27</v>
      </c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100"/>
      <c r="AP16" s="90"/>
      <c r="AQ16" s="85" t="s">
        <v>100</v>
      </c>
    </row>
    <row r="17">
      <c r="A17" s="84"/>
      <c r="B17" s="85" t="s">
        <v>111</v>
      </c>
      <c r="C17" s="99"/>
      <c r="D17" s="86" t="s">
        <v>123</v>
      </c>
      <c r="E17" s="87">
        <v>46199.0</v>
      </c>
      <c r="F17" s="49" t="s">
        <v>112</v>
      </c>
      <c r="G17" s="85" t="s">
        <v>113</v>
      </c>
      <c r="H17" s="85" t="s">
        <v>114</v>
      </c>
      <c r="I17" s="88" t="s">
        <v>27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100"/>
      <c r="AP17" s="90"/>
      <c r="AQ17" s="85" t="s">
        <v>87</v>
      </c>
    </row>
    <row r="18">
      <c r="A18" s="98"/>
      <c r="B18" s="101" t="s">
        <v>124</v>
      </c>
      <c r="C18" s="7"/>
      <c r="D18" s="9" t="s">
        <v>17</v>
      </c>
      <c r="E18" s="94">
        <v>46196.0</v>
      </c>
      <c r="F18" s="5" t="s">
        <v>38</v>
      </c>
      <c r="G18" s="102" t="s">
        <v>125</v>
      </c>
      <c r="H18" s="102" t="s">
        <v>126</v>
      </c>
      <c r="I18" s="13" t="s">
        <v>25</v>
      </c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101"/>
      <c r="AN18" s="101"/>
      <c r="AO18" s="19">
        <f>SUM(J18:AN18)</f>
        <v>0</v>
      </c>
      <c r="AP18" s="98"/>
      <c r="AQ18" s="95" t="s">
        <v>87</v>
      </c>
    </row>
  </sheetData>
  <dataValidations>
    <dataValidation type="list" allowBlank="1" showErrorMessage="1" sqref="I2:I18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2 C16:C18">
      <formula1>"ECONOMUS,CABESP,ALICE SAÚDE,VIVEST,PORTO SEGURO,AMAFRESP,UNIMED,AFRESP"</formula1>
    </dataValidation>
    <dataValidation type="list" allowBlank="1" showErrorMessage="1" sqref="D2:D18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88"/>
    <col customWidth="1" min="2" max="2" width="38.5"/>
    <col customWidth="1" min="3" max="3" width="19.5"/>
    <col customWidth="1" min="5" max="5" width="18.25"/>
    <col customWidth="1" min="6" max="6" width="32.75"/>
    <col customWidth="1" min="7" max="7" width="14.63"/>
    <col customWidth="1" min="8" max="8" width="15.25"/>
    <col customWidth="1" min="9" max="39" width="4.63"/>
    <col customWidth="1" min="40" max="40" width="9.25"/>
    <col customWidth="1" min="41" max="41" width="11.13"/>
    <col customWidth="1" min="42" max="42" width="9.25"/>
  </cols>
  <sheetData>
    <row r="1">
      <c r="A1" s="1" t="s">
        <v>0</v>
      </c>
      <c r="B1" s="2" t="s">
        <v>1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10</v>
      </c>
      <c r="AO1" s="3" t="s">
        <v>53</v>
      </c>
      <c r="AP1" s="54" t="s">
        <v>54</v>
      </c>
    </row>
    <row r="2">
      <c r="A2" s="57" t="s">
        <v>16</v>
      </c>
      <c r="B2" s="5" t="s">
        <v>85</v>
      </c>
      <c r="C2" s="59"/>
      <c r="D2" s="11"/>
      <c r="E2" s="5" t="s">
        <v>38</v>
      </c>
      <c r="F2" s="60" t="s">
        <v>57</v>
      </c>
      <c r="G2" s="61" t="s">
        <v>58</v>
      </c>
      <c r="H2" s="13" t="s">
        <v>86</v>
      </c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3"/>
      <c r="AG2" s="63"/>
      <c r="AH2" s="63"/>
      <c r="AI2" s="62"/>
      <c r="AJ2" s="62"/>
      <c r="AK2" s="62"/>
      <c r="AL2" s="62"/>
      <c r="AM2" s="62"/>
      <c r="AN2" s="19">
        <f t="shared" ref="AN2:AN12" si="1">SUM(I2:AM2)</f>
        <v>0</v>
      </c>
      <c r="AO2" s="16" t="s">
        <v>75</v>
      </c>
      <c r="AP2" s="16" t="s">
        <v>75</v>
      </c>
    </row>
    <row r="3">
      <c r="A3" s="65" t="s">
        <v>11</v>
      </c>
      <c r="B3" s="5" t="s">
        <v>85</v>
      </c>
      <c r="C3" s="59" t="s">
        <v>91</v>
      </c>
      <c r="D3" s="11">
        <v>46233.0</v>
      </c>
      <c r="E3" s="5" t="s">
        <v>38</v>
      </c>
      <c r="F3" s="35" t="s">
        <v>89</v>
      </c>
      <c r="G3" s="35" t="s">
        <v>90</v>
      </c>
      <c r="H3" s="13" t="s">
        <v>86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8">
        <v>1.0</v>
      </c>
      <c r="AM3" s="64"/>
      <c r="AN3" s="19">
        <f t="shared" si="1"/>
        <v>1</v>
      </c>
      <c r="AO3" s="16" t="s">
        <v>65</v>
      </c>
      <c r="AP3" s="16" t="s">
        <v>65</v>
      </c>
    </row>
    <row r="4">
      <c r="A4" s="71" t="s">
        <v>4</v>
      </c>
      <c r="B4" s="5" t="s">
        <v>93</v>
      </c>
      <c r="C4" s="59"/>
      <c r="D4" s="11"/>
      <c r="E4" s="5" t="s">
        <v>94</v>
      </c>
      <c r="F4" s="5" t="s">
        <v>95</v>
      </c>
      <c r="G4" s="5" t="s">
        <v>96</v>
      </c>
      <c r="H4" s="13" t="s">
        <v>41</v>
      </c>
      <c r="I4" s="68">
        <v>1.0</v>
      </c>
      <c r="J4" s="68">
        <v>1.0</v>
      </c>
      <c r="K4" s="68">
        <v>1.0</v>
      </c>
      <c r="L4" s="64"/>
      <c r="M4" s="64"/>
      <c r="N4" s="68">
        <v>1.0</v>
      </c>
      <c r="O4" s="68">
        <v>1.0</v>
      </c>
      <c r="P4" s="68">
        <v>1.0</v>
      </c>
      <c r="Q4" s="68">
        <v>1.0</v>
      </c>
      <c r="R4" s="68">
        <v>1.0</v>
      </c>
      <c r="S4" s="64"/>
      <c r="T4" s="64"/>
      <c r="U4" s="68">
        <v>1.0</v>
      </c>
      <c r="V4" s="68">
        <v>1.0</v>
      </c>
      <c r="W4" s="68">
        <v>1.0</v>
      </c>
      <c r="X4" s="68">
        <v>1.0</v>
      </c>
      <c r="Y4" s="68">
        <v>1.0</v>
      </c>
      <c r="Z4" s="64"/>
      <c r="AA4" s="64"/>
      <c r="AB4" s="68">
        <v>1.0</v>
      </c>
      <c r="AC4" s="68">
        <v>1.0</v>
      </c>
      <c r="AD4" s="68">
        <v>1.0</v>
      </c>
      <c r="AE4" s="68">
        <v>1.0</v>
      </c>
      <c r="AF4" s="68">
        <v>1.0</v>
      </c>
      <c r="AG4" s="64"/>
      <c r="AH4" s="64"/>
      <c r="AI4" s="75">
        <v>1.0</v>
      </c>
      <c r="AJ4" s="75">
        <v>1.0</v>
      </c>
      <c r="AK4" s="75">
        <v>1.0</v>
      </c>
      <c r="AL4" s="75">
        <v>1.0</v>
      </c>
      <c r="AM4" s="75">
        <v>1.0</v>
      </c>
      <c r="AN4" s="19">
        <f t="shared" si="1"/>
        <v>23</v>
      </c>
      <c r="AO4" s="16" t="s">
        <v>65</v>
      </c>
      <c r="AP4" s="16" t="s">
        <v>65</v>
      </c>
    </row>
    <row r="5">
      <c r="A5" s="79" t="s">
        <v>31</v>
      </c>
      <c r="B5" s="76" t="s">
        <v>103</v>
      </c>
      <c r="C5" s="77" t="s">
        <v>17</v>
      </c>
      <c r="D5" s="78">
        <v>46206.0</v>
      </c>
      <c r="E5" s="76" t="s">
        <v>38</v>
      </c>
      <c r="F5" s="76" t="s">
        <v>104</v>
      </c>
      <c r="G5" s="76" t="s">
        <v>105</v>
      </c>
      <c r="H5" s="80" t="s">
        <v>25</v>
      </c>
      <c r="I5" s="64"/>
      <c r="J5" s="64"/>
      <c r="K5" s="68">
        <v>1.0</v>
      </c>
      <c r="L5" s="64"/>
      <c r="M5" s="64"/>
      <c r="N5" s="68">
        <v>1.0</v>
      </c>
      <c r="O5" s="64"/>
      <c r="P5" s="68">
        <v>1.0</v>
      </c>
      <c r="Q5" s="64"/>
      <c r="R5" s="68">
        <v>1.0</v>
      </c>
      <c r="S5" s="64"/>
      <c r="T5" s="64"/>
      <c r="U5" s="68">
        <v>1.0</v>
      </c>
      <c r="V5" s="64"/>
      <c r="W5" s="64"/>
      <c r="X5" s="64"/>
      <c r="Y5" s="68">
        <v>1.0</v>
      </c>
      <c r="Z5" s="64"/>
      <c r="AA5" s="64"/>
      <c r="AB5" s="68">
        <v>1.0</v>
      </c>
      <c r="AC5" s="64"/>
      <c r="AD5" s="68">
        <v>1.0</v>
      </c>
      <c r="AE5" s="64"/>
      <c r="AF5" s="68">
        <v>1.0</v>
      </c>
      <c r="AG5" s="64"/>
      <c r="AH5" s="64"/>
      <c r="AI5" s="75">
        <v>1.0</v>
      </c>
      <c r="AJ5" s="83"/>
      <c r="AK5" s="75">
        <v>1.0</v>
      </c>
      <c r="AL5" s="83"/>
      <c r="AM5" s="75">
        <v>1.0</v>
      </c>
      <c r="AN5" s="19">
        <f t="shared" si="1"/>
        <v>12</v>
      </c>
      <c r="AO5" s="82" t="s">
        <v>65</v>
      </c>
      <c r="AP5" s="82" t="s">
        <v>65</v>
      </c>
    </row>
    <row r="6">
      <c r="B6" s="5" t="s">
        <v>12</v>
      </c>
      <c r="C6" s="9"/>
      <c r="D6" s="11"/>
      <c r="E6" s="5" t="s">
        <v>19</v>
      </c>
      <c r="F6" s="12" t="s">
        <v>21</v>
      </c>
      <c r="G6" s="12" t="s">
        <v>24</v>
      </c>
      <c r="H6" s="13" t="s">
        <v>107</v>
      </c>
      <c r="I6" s="68">
        <v>1.0</v>
      </c>
      <c r="J6" s="68"/>
      <c r="K6" s="68">
        <v>1.0</v>
      </c>
      <c r="L6" s="64"/>
      <c r="M6" s="64"/>
      <c r="N6" s="68"/>
      <c r="O6" s="68"/>
      <c r="P6" s="68">
        <v>1.0</v>
      </c>
      <c r="Q6" s="68"/>
      <c r="R6" s="68">
        <v>1.0</v>
      </c>
      <c r="S6" s="64"/>
      <c r="T6" s="64"/>
      <c r="U6" s="68"/>
      <c r="V6" s="68"/>
      <c r="W6" s="68">
        <v>1.0</v>
      </c>
      <c r="X6" s="68"/>
      <c r="Y6" s="68">
        <v>1.0</v>
      </c>
      <c r="Z6" s="64"/>
      <c r="AA6" s="64"/>
      <c r="AB6" s="68"/>
      <c r="AC6" s="68"/>
      <c r="AD6" s="68">
        <v>1.0</v>
      </c>
      <c r="AE6" s="68"/>
      <c r="AF6" s="68">
        <v>1.0</v>
      </c>
      <c r="AG6" s="64"/>
      <c r="AH6" s="64"/>
      <c r="AI6" s="68"/>
      <c r="AJ6" s="68"/>
      <c r="AK6" s="68">
        <v>1.0</v>
      </c>
      <c r="AL6" s="68"/>
      <c r="AM6" s="68">
        <v>1.0</v>
      </c>
      <c r="AN6" s="19">
        <f t="shared" si="1"/>
        <v>10</v>
      </c>
      <c r="AO6" s="16" t="s">
        <v>65</v>
      </c>
      <c r="AP6" s="16" t="s">
        <v>65</v>
      </c>
    </row>
    <row r="7">
      <c r="A7" s="81"/>
      <c r="B7" s="28" t="s">
        <v>42</v>
      </c>
      <c r="C7" s="9"/>
      <c r="D7" s="11"/>
      <c r="E7" s="5" t="s">
        <v>43</v>
      </c>
      <c r="F7" s="5" t="s">
        <v>44</v>
      </c>
      <c r="G7" s="5" t="s">
        <v>45</v>
      </c>
      <c r="H7" s="13" t="s">
        <v>25</v>
      </c>
      <c r="I7" s="68">
        <v>1.0</v>
      </c>
      <c r="J7" s="68">
        <v>1.0</v>
      </c>
      <c r="K7" s="64"/>
      <c r="L7" s="64"/>
      <c r="M7" s="64"/>
      <c r="N7" s="68"/>
      <c r="O7" s="68">
        <v>1.0</v>
      </c>
      <c r="P7" s="68">
        <v>1.0</v>
      </c>
      <c r="Q7" s="64"/>
      <c r="R7" s="64"/>
      <c r="S7" s="64"/>
      <c r="T7" s="64"/>
      <c r="U7" s="68"/>
      <c r="V7" s="68">
        <v>1.0</v>
      </c>
      <c r="W7" s="68">
        <v>1.0</v>
      </c>
      <c r="X7" s="64"/>
      <c r="Y7" s="64"/>
      <c r="Z7" s="64"/>
      <c r="AA7" s="68"/>
      <c r="AB7" s="68"/>
      <c r="AC7" s="68">
        <v>1.0</v>
      </c>
      <c r="AD7" s="68">
        <v>1.0</v>
      </c>
      <c r="AE7" s="68">
        <v>1.0</v>
      </c>
      <c r="AF7" s="64"/>
      <c r="AG7" s="64"/>
      <c r="AH7" s="64"/>
      <c r="AI7" s="64"/>
      <c r="AJ7" s="64"/>
      <c r="AK7" s="68">
        <v>1.0</v>
      </c>
      <c r="AL7" s="64"/>
      <c r="AM7" s="64"/>
      <c r="AN7" s="19">
        <f t="shared" si="1"/>
        <v>10</v>
      </c>
      <c r="AO7" s="16" t="s">
        <v>65</v>
      </c>
      <c r="AP7" s="16" t="s">
        <v>65</v>
      </c>
    </row>
    <row r="8" ht="17.25" customHeight="1">
      <c r="A8" s="52"/>
      <c r="B8" s="28" t="s">
        <v>56</v>
      </c>
      <c r="C8" s="9"/>
      <c r="D8" s="11"/>
      <c r="E8" s="5" t="s">
        <v>38</v>
      </c>
      <c r="F8" s="5" t="s">
        <v>59</v>
      </c>
      <c r="G8" s="5" t="s">
        <v>60</v>
      </c>
      <c r="H8" s="13" t="s">
        <v>41</v>
      </c>
      <c r="I8" s="68">
        <v>1.0</v>
      </c>
      <c r="J8" s="68">
        <v>1.0</v>
      </c>
      <c r="K8" s="68">
        <v>1.0</v>
      </c>
      <c r="L8" s="64"/>
      <c r="M8" s="64"/>
      <c r="N8" s="68">
        <v>1.0</v>
      </c>
      <c r="O8" s="68">
        <v>1.0</v>
      </c>
      <c r="P8" s="68">
        <v>1.0</v>
      </c>
      <c r="Q8" s="64"/>
      <c r="R8" s="68">
        <v>1.0</v>
      </c>
      <c r="S8" s="68">
        <v>1.0</v>
      </c>
      <c r="T8" s="64"/>
      <c r="U8" s="68">
        <v>1.0</v>
      </c>
      <c r="V8" s="68">
        <v>1.0</v>
      </c>
      <c r="W8" s="68">
        <v>1.0</v>
      </c>
      <c r="X8" s="68">
        <v>1.0</v>
      </c>
      <c r="Y8" s="68">
        <v>1.0</v>
      </c>
      <c r="Z8" s="64"/>
      <c r="AA8" s="64"/>
      <c r="AB8" s="68">
        <v>1.0</v>
      </c>
      <c r="AC8" s="68">
        <v>1.0</v>
      </c>
      <c r="AD8" s="68">
        <v>1.0</v>
      </c>
      <c r="AE8" s="64"/>
      <c r="AF8" s="68">
        <v>1.0</v>
      </c>
      <c r="AG8" s="28">
        <v>1.0</v>
      </c>
      <c r="AH8" s="28"/>
      <c r="AI8" s="28">
        <v>1.0</v>
      </c>
      <c r="AJ8" s="28">
        <v>1.0</v>
      </c>
      <c r="AK8" s="28">
        <v>1.0</v>
      </c>
      <c r="AL8" s="28">
        <v>1.0</v>
      </c>
      <c r="AM8" s="28">
        <v>1.0</v>
      </c>
      <c r="AN8" s="19">
        <f t="shared" si="1"/>
        <v>23</v>
      </c>
      <c r="AO8" s="16" t="s">
        <v>65</v>
      </c>
      <c r="AP8" s="16" t="s">
        <v>65</v>
      </c>
    </row>
    <row r="9">
      <c r="A9" s="50"/>
      <c r="B9" s="28" t="s">
        <v>61</v>
      </c>
      <c r="C9" s="9"/>
      <c r="D9" s="11"/>
      <c r="E9" s="5" t="s">
        <v>62</v>
      </c>
      <c r="F9" s="5" t="s">
        <v>63</v>
      </c>
      <c r="G9" s="5" t="s">
        <v>64</v>
      </c>
      <c r="H9" s="13" t="s">
        <v>25</v>
      </c>
      <c r="I9" s="68">
        <v>1.0</v>
      </c>
      <c r="J9" s="64"/>
      <c r="K9" s="68">
        <v>1.0</v>
      </c>
      <c r="L9" s="64"/>
      <c r="M9" s="64"/>
      <c r="N9" s="68">
        <v>1.0</v>
      </c>
      <c r="O9" s="64"/>
      <c r="P9" s="68">
        <v>1.0</v>
      </c>
      <c r="Q9" s="64"/>
      <c r="R9" s="68">
        <v>1.0</v>
      </c>
      <c r="S9" s="64"/>
      <c r="T9" s="64"/>
      <c r="U9" s="64"/>
      <c r="V9" s="64"/>
      <c r="W9" s="68">
        <v>1.0</v>
      </c>
      <c r="X9" s="68">
        <v>1.0</v>
      </c>
      <c r="Y9" s="68">
        <v>1.0</v>
      </c>
      <c r="Z9" s="64"/>
      <c r="AA9" s="64"/>
      <c r="AB9" s="68">
        <v>2.0</v>
      </c>
      <c r="AC9" s="64"/>
      <c r="AD9" s="64"/>
      <c r="AE9" s="64"/>
      <c r="AF9" s="64"/>
      <c r="AG9" s="64"/>
      <c r="AH9" s="64"/>
      <c r="AI9" s="64"/>
      <c r="AJ9" s="64"/>
      <c r="AK9" s="68">
        <v>1.0</v>
      </c>
      <c r="AL9" s="64"/>
      <c r="AM9" s="68">
        <v>1.0</v>
      </c>
      <c r="AN9" s="19">
        <f t="shared" si="1"/>
        <v>12</v>
      </c>
      <c r="AO9" s="16" t="s">
        <v>65</v>
      </c>
      <c r="AP9" s="16" t="s">
        <v>65</v>
      </c>
    </row>
    <row r="10">
      <c r="A10" s="91"/>
      <c r="B10" s="92" t="s">
        <v>92</v>
      </c>
      <c r="C10" s="93"/>
      <c r="D10" s="94"/>
      <c r="E10" s="95" t="s">
        <v>97</v>
      </c>
      <c r="F10" s="95" t="s">
        <v>116</v>
      </c>
      <c r="G10" s="95" t="s">
        <v>117</v>
      </c>
      <c r="H10" s="13" t="s">
        <v>25</v>
      </c>
      <c r="I10" s="60">
        <v>1.0</v>
      </c>
      <c r="J10" s="89"/>
      <c r="K10" s="60">
        <v>1.0</v>
      </c>
      <c r="L10" s="89"/>
      <c r="M10" s="89"/>
      <c r="N10" s="89"/>
      <c r="O10" s="60">
        <v>1.0</v>
      </c>
      <c r="P10" s="60">
        <v>1.0</v>
      </c>
      <c r="Q10" s="89"/>
      <c r="R10" s="60">
        <v>1.0</v>
      </c>
      <c r="S10" s="89"/>
      <c r="T10" s="89"/>
      <c r="U10" s="60">
        <v>1.0</v>
      </c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19">
        <f t="shared" si="1"/>
        <v>6</v>
      </c>
      <c r="AO10" s="95" t="s">
        <v>65</v>
      </c>
      <c r="AP10" s="95" t="s">
        <v>65</v>
      </c>
    </row>
    <row r="11">
      <c r="A11" s="84"/>
      <c r="B11" s="85" t="s">
        <v>111</v>
      </c>
      <c r="C11" s="86"/>
      <c r="D11" s="87"/>
      <c r="E11" s="49" t="s">
        <v>112</v>
      </c>
      <c r="F11" s="35" t="s">
        <v>95</v>
      </c>
      <c r="G11" s="35" t="s">
        <v>96</v>
      </c>
      <c r="H11" s="88" t="s">
        <v>27</v>
      </c>
      <c r="I11" s="89"/>
      <c r="J11" s="60">
        <v>1.0</v>
      </c>
      <c r="K11" s="89"/>
      <c r="L11" s="89"/>
      <c r="M11" s="60">
        <v>1.0</v>
      </c>
      <c r="N11" s="89"/>
      <c r="O11" s="60">
        <v>1.0</v>
      </c>
      <c r="P11" s="60">
        <v>1.0</v>
      </c>
      <c r="Q11" s="60">
        <v>1.0</v>
      </c>
      <c r="R11" s="89"/>
      <c r="S11" s="89"/>
      <c r="T11" s="89"/>
      <c r="U11" s="89"/>
      <c r="V11" s="60">
        <v>1.0</v>
      </c>
      <c r="W11" s="89"/>
      <c r="X11" s="60">
        <v>1.0</v>
      </c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19">
        <f t="shared" si="1"/>
        <v>7</v>
      </c>
      <c r="AO11" s="85" t="s">
        <v>65</v>
      </c>
      <c r="AP11" s="85" t="s">
        <v>65</v>
      </c>
    </row>
    <row r="12">
      <c r="A12" s="84"/>
      <c r="B12" s="85" t="s">
        <v>111</v>
      </c>
      <c r="C12" s="86"/>
      <c r="D12" s="87"/>
      <c r="E12" s="49" t="s">
        <v>112</v>
      </c>
      <c r="F12" s="85" t="s">
        <v>113</v>
      </c>
      <c r="G12" s="85" t="s">
        <v>114</v>
      </c>
      <c r="H12" s="88" t="s">
        <v>27</v>
      </c>
      <c r="I12" s="60">
        <v>1.0</v>
      </c>
      <c r="J12" s="89"/>
      <c r="K12" s="60">
        <v>1.0</v>
      </c>
      <c r="L12" s="89"/>
      <c r="M12" s="89"/>
      <c r="N12" s="60">
        <v>1.0</v>
      </c>
      <c r="O12" s="89"/>
      <c r="P12" s="89"/>
      <c r="Q12" s="89"/>
      <c r="R12" s="60">
        <v>1.0</v>
      </c>
      <c r="S12" s="60">
        <v>1.0</v>
      </c>
      <c r="T12" s="60">
        <v>1.0</v>
      </c>
      <c r="U12" s="60">
        <v>1.0</v>
      </c>
      <c r="V12" s="89"/>
      <c r="W12" s="60">
        <v>1.0</v>
      </c>
      <c r="X12" s="89"/>
      <c r="Y12" s="60">
        <v>1.0</v>
      </c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19">
        <f t="shared" si="1"/>
        <v>9</v>
      </c>
      <c r="AO12" s="85" t="s">
        <v>65</v>
      </c>
      <c r="AP12" s="85" t="s">
        <v>80</v>
      </c>
    </row>
    <row r="13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</row>
    <row r="14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</row>
    <row r="1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</row>
    <row r="16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</row>
    <row r="17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</row>
    <row r="18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</row>
    <row r="19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</row>
  </sheetData>
  <dataValidations>
    <dataValidation type="list" allowBlank="1" showErrorMessage="1" sqref="H2:H12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2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88"/>
    <col customWidth="1" min="2" max="2" width="38.5"/>
    <col customWidth="1" min="3" max="3" width="19.5"/>
    <col customWidth="1" min="5" max="5" width="18.25"/>
    <col customWidth="1" min="6" max="6" width="32.75"/>
    <col customWidth="1" min="7" max="7" width="14.63"/>
    <col customWidth="1" min="8" max="8" width="15.25"/>
    <col customWidth="1" min="9" max="39" width="4.63"/>
    <col customWidth="1" min="40" max="40" width="9.25"/>
    <col customWidth="1" min="41" max="41" width="11.13"/>
    <col customWidth="1" min="42" max="42" width="9.25"/>
  </cols>
  <sheetData>
    <row r="1">
      <c r="A1" s="1" t="s">
        <v>0</v>
      </c>
      <c r="B1" s="2" t="s">
        <v>1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>
        <v>1.0</v>
      </c>
      <c r="J1" s="2">
        <v>2.0</v>
      </c>
      <c r="K1" s="2">
        <v>3.0</v>
      </c>
      <c r="L1" s="2">
        <v>4.0</v>
      </c>
      <c r="M1" s="2">
        <v>5.0</v>
      </c>
      <c r="N1" s="2">
        <v>6.0</v>
      </c>
      <c r="O1" s="2">
        <v>7.0</v>
      </c>
      <c r="P1" s="2">
        <v>8.0</v>
      </c>
      <c r="Q1" s="2">
        <v>9.0</v>
      </c>
      <c r="R1" s="2">
        <v>10.0</v>
      </c>
      <c r="S1" s="2">
        <v>11.0</v>
      </c>
      <c r="T1" s="2">
        <v>12.0</v>
      </c>
      <c r="U1" s="2">
        <v>13.0</v>
      </c>
      <c r="V1" s="2">
        <v>14.0</v>
      </c>
      <c r="W1" s="2">
        <v>15.0</v>
      </c>
      <c r="X1" s="2">
        <v>16.0</v>
      </c>
      <c r="Y1" s="2">
        <v>17.0</v>
      </c>
      <c r="Z1" s="2">
        <v>18.0</v>
      </c>
      <c r="AA1" s="2">
        <v>19.0</v>
      </c>
      <c r="AB1" s="2">
        <v>20.0</v>
      </c>
      <c r="AC1" s="2">
        <v>21.0</v>
      </c>
      <c r="AD1" s="2">
        <v>22.0</v>
      </c>
      <c r="AE1" s="2">
        <v>23.0</v>
      </c>
      <c r="AF1" s="2">
        <v>24.0</v>
      </c>
      <c r="AG1" s="2">
        <v>25.0</v>
      </c>
      <c r="AH1" s="2">
        <v>26.0</v>
      </c>
      <c r="AI1" s="2">
        <v>27.0</v>
      </c>
      <c r="AJ1" s="2">
        <v>28.0</v>
      </c>
      <c r="AK1" s="2">
        <v>29.0</v>
      </c>
      <c r="AL1" s="2">
        <v>30.0</v>
      </c>
      <c r="AM1" s="2">
        <v>31.0</v>
      </c>
      <c r="AN1" s="2" t="s">
        <v>10</v>
      </c>
      <c r="AO1" s="3" t="s">
        <v>53</v>
      </c>
      <c r="AP1" s="54" t="s">
        <v>54</v>
      </c>
    </row>
    <row r="2">
      <c r="A2" s="57" t="s">
        <v>16</v>
      </c>
      <c r="B2" s="5" t="s">
        <v>85</v>
      </c>
      <c r="C2" s="59"/>
      <c r="D2" s="11"/>
      <c r="E2" s="5" t="s">
        <v>38</v>
      </c>
      <c r="F2" s="35" t="s">
        <v>89</v>
      </c>
      <c r="G2" s="35" t="s">
        <v>90</v>
      </c>
      <c r="H2" s="13" t="s">
        <v>86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19">
        <f t="shared" ref="AN2:AN10" si="1">SUM(I2:AM2)</f>
        <v>0</v>
      </c>
      <c r="AO2" s="16"/>
      <c r="AP2" s="16"/>
    </row>
    <row r="3">
      <c r="A3" s="65" t="s">
        <v>11</v>
      </c>
      <c r="B3" s="5" t="s">
        <v>93</v>
      </c>
      <c r="C3" s="59"/>
      <c r="D3" s="11"/>
      <c r="E3" s="5" t="s">
        <v>94</v>
      </c>
      <c r="F3" s="5" t="s">
        <v>95</v>
      </c>
      <c r="G3" s="5" t="s">
        <v>96</v>
      </c>
      <c r="H3" s="13" t="s">
        <v>41</v>
      </c>
      <c r="I3" s="68"/>
      <c r="J3" s="68"/>
      <c r="K3" s="68"/>
      <c r="L3" s="64"/>
      <c r="M3" s="64"/>
      <c r="N3" s="68"/>
      <c r="O3" s="68"/>
      <c r="P3" s="68"/>
      <c r="Q3" s="68"/>
      <c r="R3" s="68"/>
      <c r="S3" s="64"/>
      <c r="T3" s="64"/>
      <c r="U3" s="68"/>
      <c r="V3" s="68"/>
      <c r="W3" s="68"/>
      <c r="X3" s="68"/>
      <c r="Y3" s="68"/>
      <c r="Z3" s="64"/>
      <c r="AA3" s="64"/>
      <c r="AB3" s="68"/>
      <c r="AC3" s="68"/>
      <c r="AD3" s="68"/>
      <c r="AE3" s="68"/>
      <c r="AF3" s="68"/>
      <c r="AG3" s="64"/>
      <c r="AH3" s="64"/>
      <c r="AI3" s="68"/>
      <c r="AJ3" s="68"/>
      <c r="AK3" s="68"/>
      <c r="AL3" s="68"/>
      <c r="AM3" s="68"/>
      <c r="AN3" s="19">
        <f t="shared" si="1"/>
        <v>0</v>
      </c>
      <c r="AO3" s="16"/>
      <c r="AP3" s="16"/>
    </row>
    <row r="4">
      <c r="A4" s="74" t="s">
        <v>35</v>
      </c>
      <c r="B4" s="76" t="s">
        <v>103</v>
      </c>
      <c r="C4" s="77"/>
      <c r="D4" s="78"/>
      <c r="E4" s="76" t="s">
        <v>38</v>
      </c>
      <c r="F4" s="76" t="s">
        <v>104</v>
      </c>
      <c r="G4" s="76" t="s">
        <v>105</v>
      </c>
      <c r="H4" s="80" t="s">
        <v>25</v>
      </c>
      <c r="I4" s="64"/>
      <c r="J4" s="64"/>
      <c r="K4" s="68"/>
      <c r="L4" s="64"/>
      <c r="M4" s="64"/>
      <c r="N4" s="68"/>
      <c r="O4" s="64"/>
      <c r="P4" s="68"/>
      <c r="Q4" s="64"/>
      <c r="R4" s="68"/>
      <c r="S4" s="64"/>
      <c r="T4" s="64"/>
      <c r="U4" s="68"/>
      <c r="V4" s="64"/>
      <c r="W4" s="64"/>
      <c r="X4" s="64"/>
      <c r="Y4" s="68"/>
      <c r="Z4" s="64"/>
      <c r="AA4" s="64"/>
      <c r="AB4" s="68"/>
      <c r="AC4" s="64"/>
      <c r="AD4" s="68"/>
      <c r="AE4" s="64"/>
      <c r="AF4" s="68"/>
      <c r="AG4" s="64"/>
      <c r="AH4" s="64"/>
      <c r="AI4" s="68"/>
      <c r="AJ4" s="64"/>
      <c r="AK4" s="68"/>
      <c r="AL4" s="64"/>
      <c r="AM4" s="68"/>
      <c r="AN4" s="19">
        <f t="shared" si="1"/>
        <v>0</v>
      </c>
      <c r="AO4" s="82"/>
      <c r="AP4" s="82"/>
    </row>
    <row r="5">
      <c r="A5" s="79" t="s">
        <v>31</v>
      </c>
      <c r="B5" s="5" t="s">
        <v>12</v>
      </c>
      <c r="C5" s="9"/>
      <c r="D5" s="11"/>
      <c r="E5" s="5" t="s">
        <v>19</v>
      </c>
      <c r="F5" s="12" t="s">
        <v>21</v>
      </c>
      <c r="G5" s="12" t="s">
        <v>24</v>
      </c>
      <c r="H5" s="13" t="s">
        <v>107</v>
      </c>
      <c r="I5" s="68"/>
      <c r="J5" s="68"/>
      <c r="K5" s="68"/>
      <c r="L5" s="64"/>
      <c r="M5" s="64"/>
      <c r="N5" s="68"/>
      <c r="O5" s="68"/>
      <c r="P5" s="68"/>
      <c r="Q5" s="68"/>
      <c r="R5" s="68"/>
      <c r="S5" s="64"/>
      <c r="T5" s="64"/>
      <c r="U5" s="68"/>
      <c r="V5" s="68"/>
      <c r="W5" s="68"/>
      <c r="X5" s="68"/>
      <c r="Y5" s="68"/>
      <c r="Z5" s="64"/>
      <c r="AA5" s="64"/>
      <c r="AB5" s="68"/>
      <c r="AC5" s="68"/>
      <c r="AD5" s="68"/>
      <c r="AE5" s="68"/>
      <c r="AF5" s="68"/>
      <c r="AG5" s="64"/>
      <c r="AH5" s="64"/>
      <c r="AI5" s="68"/>
      <c r="AJ5" s="68"/>
      <c r="AK5" s="68"/>
      <c r="AL5" s="68"/>
      <c r="AM5" s="68"/>
      <c r="AN5" s="19">
        <f t="shared" si="1"/>
        <v>0</v>
      </c>
      <c r="AO5" s="16"/>
      <c r="AP5" s="16"/>
    </row>
    <row r="6">
      <c r="B6" s="28" t="s">
        <v>42</v>
      </c>
      <c r="C6" s="9"/>
      <c r="D6" s="11"/>
      <c r="E6" s="5" t="s">
        <v>43</v>
      </c>
      <c r="F6" s="5" t="s">
        <v>44</v>
      </c>
      <c r="G6" s="5" t="s">
        <v>45</v>
      </c>
      <c r="H6" s="13" t="s">
        <v>25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8"/>
      <c r="AB6" s="68"/>
      <c r="AC6" s="68"/>
      <c r="AD6" s="68"/>
      <c r="AE6" s="68"/>
      <c r="AF6" s="64"/>
      <c r="AG6" s="64"/>
      <c r="AH6" s="64"/>
      <c r="AI6" s="64"/>
      <c r="AJ6" s="64"/>
      <c r="AK6" s="64"/>
      <c r="AL6" s="64"/>
      <c r="AM6" s="64"/>
      <c r="AN6" s="19">
        <f t="shared" si="1"/>
        <v>0</v>
      </c>
      <c r="AO6" s="16"/>
      <c r="AP6" s="16"/>
    </row>
    <row r="7" ht="17.25" customHeight="1">
      <c r="A7" s="52"/>
      <c r="B7" s="28" t="s">
        <v>56</v>
      </c>
      <c r="C7" s="9"/>
      <c r="D7" s="11"/>
      <c r="E7" s="5" t="s">
        <v>38</v>
      </c>
      <c r="F7" s="5" t="s">
        <v>59</v>
      </c>
      <c r="G7" s="5" t="s">
        <v>60</v>
      </c>
      <c r="H7" s="13" t="s">
        <v>41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28"/>
      <c r="AH7" s="28"/>
      <c r="AI7" s="28"/>
      <c r="AJ7" s="28"/>
      <c r="AK7" s="28"/>
      <c r="AL7" s="28"/>
      <c r="AM7" s="28"/>
      <c r="AN7" s="19">
        <f t="shared" si="1"/>
        <v>0</v>
      </c>
      <c r="AO7" s="16"/>
      <c r="AP7" s="16"/>
    </row>
    <row r="8">
      <c r="A8" s="50"/>
      <c r="B8" s="28" t="s">
        <v>61</v>
      </c>
      <c r="C8" s="9"/>
      <c r="D8" s="11"/>
      <c r="E8" s="5" t="s">
        <v>62</v>
      </c>
      <c r="F8" s="5" t="s">
        <v>63</v>
      </c>
      <c r="G8" s="5" t="s">
        <v>64</v>
      </c>
      <c r="H8" s="13" t="s">
        <v>25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19">
        <f t="shared" si="1"/>
        <v>0</v>
      </c>
      <c r="AO8" s="16"/>
      <c r="AP8" s="16"/>
    </row>
    <row r="9">
      <c r="A9" s="84"/>
      <c r="B9" s="85" t="s">
        <v>111</v>
      </c>
      <c r="C9" s="86"/>
      <c r="D9" s="87"/>
      <c r="E9" s="49" t="s">
        <v>112</v>
      </c>
      <c r="F9" s="35" t="s">
        <v>95</v>
      </c>
      <c r="G9" s="35" t="s">
        <v>96</v>
      </c>
      <c r="H9" s="88" t="s">
        <v>27</v>
      </c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19">
        <f t="shared" si="1"/>
        <v>0</v>
      </c>
      <c r="AO9" s="90"/>
      <c r="AP9" s="85"/>
    </row>
    <row r="10">
      <c r="A10" s="84"/>
      <c r="B10" s="85" t="s">
        <v>111</v>
      </c>
      <c r="C10" s="86"/>
      <c r="D10" s="87"/>
      <c r="E10" s="49" t="s">
        <v>112</v>
      </c>
      <c r="F10" s="85" t="s">
        <v>113</v>
      </c>
      <c r="G10" s="85" t="s">
        <v>114</v>
      </c>
      <c r="H10" s="88" t="s">
        <v>27</v>
      </c>
      <c r="I10" s="60"/>
      <c r="J10" s="89"/>
      <c r="K10" s="60"/>
      <c r="L10" s="89"/>
      <c r="M10" s="89"/>
      <c r="N10" s="60"/>
      <c r="O10" s="89"/>
      <c r="P10" s="89"/>
      <c r="Q10" s="89"/>
      <c r="R10" s="60"/>
      <c r="S10" s="60"/>
      <c r="T10" s="60"/>
      <c r="U10" s="60"/>
      <c r="V10" s="89"/>
      <c r="W10" s="60"/>
      <c r="X10" s="89"/>
      <c r="Y10" s="60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19">
        <f t="shared" si="1"/>
        <v>0</v>
      </c>
      <c r="AO10" s="85"/>
      <c r="AP10" s="85"/>
    </row>
    <row r="11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</row>
    <row r="12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</row>
    <row r="13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</row>
    <row r="14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</row>
    <row r="1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</row>
    <row r="16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</row>
    <row r="17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</row>
  </sheetData>
  <dataValidations>
    <dataValidation type="list" allowBlank="1" showErrorMessage="1" sqref="H2:H10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0">
      <formula1>"NOVO PACIENTE,READMISSÃO,TROCA,INTENSIFICAÇÃO,DESMAME,COBERTURA,REVEZAMENTO"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