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EVEREIRO26" sheetId="1" r:id="rId5"/>
    <sheet state="hidden" name="MARÇO26" sheetId="2" r:id="rId6"/>
    <sheet state="hidden" name="ABRIL26" sheetId="3" r:id="rId7"/>
    <sheet state="hidden" name="MAIO26" sheetId="4" r:id="rId8"/>
    <sheet state="hidden" name="JUNHO26" sheetId="5" r:id="rId9"/>
    <sheet state="visible" name="JULHO26" sheetId="6" r:id="rId10"/>
    <sheet state="visible" name="AGOSTO26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profissional declinou.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profissional declinou dos atendimentos em 27/02</t>
      </text>
    </comment>
    <comment authorId="0" ref="AI5">
      <text>
        <t xml:space="preserve">readmissão 26/03/2026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">
      <text>
        <t xml:space="preserve">Visita extra na data de 23/04.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3">
      <text>
        <t xml:space="preserve">SVD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O5">
      <text>
        <t xml:space="preserve">Não houve retorno. Mesmo após ligações e4 quase duas semanas de cobrança.
</t>
      </text>
    </comment>
  </commentList>
</comments>
</file>

<file path=xl/sharedStrings.xml><?xml version="1.0" encoding="utf-8"?>
<sst xmlns="http://schemas.openxmlformats.org/spreadsheetml/2006/main" count="231" uniqueCount="74">
  <si>
    <t>PACIENTES</t>
  </si>
  <si>
    <t>CONVÊNIO</t>
  </si>
  <si>
    <t>MOTIVO</t>
  </si>
  <si>
    <t>DATA</t>
  </si>
  <si>
    <t xml:space="preserve">CIDADE </t>
  </si>
  <si>
    <t>PROFISSIONAIS</t>
  </si>
  <si>
    <t>TELEFONE</t>
  </si>
  <si>
    <t>PAD</t>
  </si>
  <si>
    <t>TOTAL</t>
  </si>
  <si>
    <t>INTERNAÇÃO</t>
  </si>
  <si>
    <t>PENDENCIA</t>
  </si>
  <si>
    <t xml:space="preserve"> ELCO  APPARECIDO FORNAZALI</t>
  </si>
  <si>
    <t>GILBERTO MOREIRA PIRES</t>
  </si>
  <si>
    <t>ERIC BERNARDINI</t>
  </si>
  <si>
    <t>NOVO PACIENTE</t>
  </si>
  <si>
    <t>UNIMED</t>
  </si>
  <si>
    <t>ATIBAIA</t>
  </si>
  <si>
    <t>GUARATINGUETA</t>
  </si>
  <si>
    <t xml:space="preserve">Nicoli Aparecida do Prado Ribeiro </t>
  </si>
  <si>
    <t>Marta Antaniska Santos Possari</t>
  </si>
  <si>
    <t>12 99141-1440</t>
  </si>
  <si>
    <t>11 99870-1092</t>
  </si>
  <si>
    <t>RIO CLARO</t>
  </si>
  <si>
    <t>Jaqueline Rodrigues de Oliveira Bonani</t>
  </si>
  <si>
    <t>Rafaela Aparecida Bernardes</t>
  </si>
  <si>
    <t xml:space="preserve"> 19 99704-7838</t>
  </si>
  <si>
    <t>19 98746-2968</t>
  </si>
  <si>
    <t>1X/SEMANA</t>
  </si>
  <si>
    <t>AVALIAÇÃO</t>
  </si>
  <si>
    <t>OK</t>
  </si>
  <si>
    <t>1X/MÊS</t>
  </si>
  <si>
    <t xml:space="preserve">PENDENCIA </t>
  </si>
  <si>
    <t>PONTUAL</t>
  </si>
  <si>
    <t>ANTONIO BUENO DE CAMARGO</t>
  </si>
  <si>
    <t>ECONOMUS</t>
  </si>
  <si>
    <t>JOANOPOLIS</t>
  </si>
  <si>
    <t>TAINARA CRISTINI DIAS SALAES </t>
  </si>
  <si>
    <t>11 97584-0623</t>
  </si>
  <si>
    <t xml:space="preserve">2X/MÊS </t>
  </si>
  <si>
    <t>ÓBITO</t>
  </si>
  <si>
    <t xml:space="preserve"> IVAN TEIXEIRA</t>
  </si>
  <si>
    <t>ARAÇATUBA</t>
  </si>
  <si>
    <t>Patricia Elaine Merigui de Sousa</t>
  </si>
  <si>
    <t>18 98192-6866</t>
  </si>
  <si>
    <t>ALTA</t>
  </si>
  <si>
    <t>HELENA SANTORO BERTOLACCINI</t>
  </si>
  <si>
    <t xml:space="preserve"> ITU </t>
  </si>
  <si>
    <t>Jusciara de Oliveira Lima</t>
  </si>
  <si>
    <t>11 97343-8342</t>
  </si>
  <si>
    <t>INTENSIFICAÇÃO</t>
  </si>
  <si>
    <t>LENA FRANCO DE FARIA RAULE</t>
  </si>
  <si>
    <t>RIO PRETO</t>
  </si>
  <si>
    <t>Cibeli Giliote Ferreira</t>
  </si>
  <si>
    <t>17 99199-1313</t>
  </si>
  <si>
    <t xml:space="preserve">MARIA DE LOURDES DAL ROVERE </t>
  </si>
  <si>
    <t>MARILIA</t>
  </si>
  <si>
    <t>Patrícia Hage de Carvalho</t>
  </si>
  <si>
    <t> 14 99680-1617</t>
  </si>
  <si>
    <t>STATUS</t>
  </si>
  <si>
    <t>FP</t>
  </si>
  <si>
    <t>REL</t>
  </si>
  <si>
    <t>JOSE ARROYO VALERO</t>
  </si>
  <si>
    <t>BAURU</t>
  </si>
  <si>
    <t>Cesar de Sa Jacovani </t>
  </si>
  <si>
    <t>14 91004-2299</t>
  </si>
  <si>
    <t>AURELIO THOMAZELLA</t>
  </si>
  <si>
    <t>SOROCABA</t>
  </si>
  <si>
    <t>Jéssica Cristina Romualdo Ozoterio da Silva</t>
  </si>
  <si>
    <t>21 99121-4648</t>
  </si>
  <si>
    <t>-</t>
  </si>
  <si>
    <t>MAURO JOSÉ DO CARMO</t>
  </si>
  <si>
    <t>JOSÉ BONIFACIO</t>
  </si>
  <si>
    <t>Wadson Wilian da Silva Tavela</t>
  </si>
  <si>
    <t>17 99769-6368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</si>
</sst>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6">
    <font>
      <sz val="10.0"/>
      <color rgb="FF000000"/>
      <name val="Arial"/>
      <scheme val="minor"/>
    </font>
    <font>
      <b/>
      <sz val="12.0"/>
      <color rgb="FFFFFFFF"/>
      <name val="Calibri"/>
    </font>
    <font>
      <b/>
      <color theme="1"/>
      <name val="Calibri"/>
    </font>
    <font>
      <color rgb="FF000000"/>
      <name val="Arial"/>
      <scheme val="minor"/>
    </font>
    <font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sz val="11.0"/>
      <color rgb="FF242424"/>
      <name val="Calibri"/>
    </font>
    <font>
      <sz val="12.0"/>
      <color rgb="FF242424"/>
      <name val="&quot;Calibri&quot;"/>
    </font>
    <font>
      <sz val="12.0"/>
      <color rgb="FF242424"/>
      <name val="Calibri"/>
    </font>
    <font>
      <color theme="1"/>
      <name val="Arial"/>
    </font>
    <font>
      <b/>
      <sz val="11.0"/>
      <color theme="1"/>
      <name val="Calibri"/>
    </font>
    <font>
      <b/>
      <sz val="11.0"/>
      <color rgb="FFFFFFFF"/>
      <name val="Calibri"/>
    </font>
    <font>
      <color rgb="FF000000"/>
      <name val="Calibri"/>
    </font>
    <font>
      <b/>
      <color rgb="FFFFFFFF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4" fontId="2" numFmtId="0" xfId="0" applyAlignment="1" applyBorder="1" applyFill="1" applyFont="1">
      <alignment horizontal="center" readingOrder="0" vertical="bottom"/>
    </xf>
    <xf borderId="1" fillId="3" fontId="2" numFmtId="0" xfId="0" applyAlignment="1" applyBorder="1" applyFont="1">
      <alignment horizontal="center" readingOrder="0" vertical="bottom"/>
    </xf>
    <xf borderId="1" fillId="5" fontId="3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Border="1" applyFont="1"/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/>
    </xf>
    <xf borderId="2" fillId="0" fontId="2" numFmtId="49" xfId="0" applyAlignment="1" applyBorder="1" applyFont="1" applyNumberFormat="1">
      <alignment horizontal="center"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1" fillId="0" fontId="6" numFmtId="49" xfId="0" applyAlignment="1" applyBorder="1" applyFont="1" applyNumberFormat="1">
      <alignment horizontal="center" vertical="bottom"/>
    </xf>
    <xf borderId="1" fillId="0" fontId="5" numFmtId="164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2" fillId="0" fontId="2" numFmtId="49" xfId="0" applyAlignment="1" applyBorder="1" applyFont="1" applyNumberFormat="1">
      <alignment horizontal="center" vertical="bottom"/>
    </xf>
    <xf borderId="1" fillId="5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6" numFmtId="164" xfId="0" applyAlignment="1" applyBorder="1" applyFont="1" applyNumberFormat="1">
      <alignment horizontal="center" vertical="bottom"/>
    </xf>
    <xf borderId="1" fillId="5" fontId="9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/>
    </xf>
    <xf borderId="1" fillId="4" fontId="6" numFmtId="0" xfId="0" applyAlignment="1" applyBorder="1" applyFont="1">
      <alignment horizontal="center" readingOrder="0" vertical="bottom"/>
    </xf>
    <xf borderId="2" fillId="0" fontId="6" numFmtId="49" xfId="0" applyAlignment="1" applyBorder="1" applyFont="1" applyNumberFormat="1">
      <alignment horizontal="center" readingOrder="0" vertical="bottom"/>
    </xf>
    <xf borderId="1" fillId="0" fontId="6" numFmtId="49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readingOrder="0"/>
    </xf>
    <xf borderId="1" fillId="0" fontId="10" numFmtId="0" xfId="0" applyAlignment="1" applyBorder="1" applyFont="1">
      <alignment vertical="bottom"/>
    </xf>
    <xf borderId="1" fillId="5" fontId="5" numFmtId="0" xfId="0" applyBorder="1" applyFont="1"/>
    <xf borderId="1" fillId="6" fontId="2" numFmtId="0" xfId="0" applyAlignment="1" applyBorder="1" applyFill="1" applyFont="1">
      <alignment horizontal="center" readingOrder="0" vertical="bottom"/>
    </xf>
    <xf borderId="1" fillId="0" fontId="11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center" readingOrder="0" vertical="bottom"/>
    </xf>
    <xf borderId="1" fillId="3" fontId="12" numFmtId="0" xfId="0" applyAlignment="1" applyBorder="1" applyFont="1">
      <alignment horizontal="center" vertical="bottom"/>
    </xf>
    <xf borderId="1" fillId="5" fontId="13" numFmtId="0" xfId="0" applyAlignment="1" applyBorder="1" applyFont="1">
      <alignment horizontal="center" readingOrder="0"/>
    </xf>
    <xf borderId="1" fillId="0" fontId="4" numFmtId="0" xfId="0" applyBorder="1" applyFont="1"/>
    <xf borderId="1" fillId="0" fontId="6" numFmtId="164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/>
    </xf>
    <xf borderId="1" fillId="3" fontId="10" numFmtId="0" xfId="0" applyAlignment="1" applyBorder="1" applyFont="1">
      <alignment vertical="bottom"/>
    </xf>
    <xf borderId="1" fillId="6" fontId="14" numFmtId="0" xfId="0" applyAlignment="1" applyBorder="1" applyFont="1">
      <alignment horizontal="center" vertical="bottom"/>
    </xf>
    <xf borderId="1" fillId="5" fontId="5" numFmtId="0" xfId="0" applyAlignment="1" applyBorder="1" applyFont="1">
      <alignment readingOrder="0"/>
    </xf>
    <xf borderId="1" fillId="7" fontId="2" numFmtId="0" xfId="0" applyAlignment="1" applyBorder="1" applyFill="1" applyFont="1">
      <alignment horizontal="center" vertical="bottom"/>
    </xf>
    <xf borderId="1" fillId="7" fontId="2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center" readingOrder="0"/>
    </xf>
    <xf borderId="2" fillId="5" fontId="15" numFmtId="0" xfId="0" applyAlignment="1" applyBorder="1" applyFont="1">
      <alignment horizontal="center" readingOrder="0"/>
    </xf>
    <xf borderId="1" fillId="5" fontId="15" numFmtId="0" xfId="0" applyAlignment="1" applyBorder="1" applyFont="1">
      <alignment horizontal="center" readingOrder="0"/>
    </xf>
    <xf borderId="1" fillId="7" fontId="5" numFmtId="0" xfId="0" applyBorder="1" applyFont="1"/>
    <xf borderId="3" fillId="6" fontId="2" numFmtId="0" xfId="0" applyAlignment="1" applyBorder="1" applyFont="1">
      <alignment horizontal="center" readingOrder="0" vertical="bottom"/>
    </xf>
    <xf borderId="1" fillId="7" fontId="2" numFmtId="0" xfId="0" applyAlignment="1" applyBorder="1" applyFont="1">
      <alignment horizontal="center" readingOrder="0"/>
    </xf>
    <xf borderId="4" fillId="5" fontId="15" numFmtId="0" xfId="0" applyAlignment="1" applyBorder="1" applyFont="1">
      <alignment horizontal="center" readingOrder="0"/>
    </xf>
    <xf borderId="0" fillId="5" fontId="15" numFmtId="0" xfId="0" applyAlignment="1" applyFont="1">
      <alignment horizontal="center" readingOrder="0"/>
    </xf>
    <xf borderId="3" fillId="5" fontId="2" numFmtId="0" xfId="0" applyAlignment="1" applyBorder="1" applyFont="1">
      <alignment horizontal="center" readingOrder="0" vertical="bottom"/>
    </xf>
    <xf borderId="1" fillId="3" fontId="5" numFmtId="0" xfId="0" applyBorder="1" applyFont="1"/>
    <xf borderId="0" fillId="5" fontId="2" numFmtId="0" xfId="0" applyAlignment="1" applyFont="1">
      <alignment horizontal="center" readingOrder="0" vertical="bottom"/>
    </xf>
    <xf borderId="0" fillId="2" fontId="12" numFmtId="0" xfId="0" applyAlignment="1" applyFont="1">
      <alignment horizontal="center" readingOrder="0" vertical="bottom"/>
    </xf>
    <xf borderId="1" fillId="2" fontId="12" numFmtId="0" xfId="0" applyAlignment="1" applyBorder="1" applyFont="1">
      <alignment horizontal="center" vertical="bottom"/>
    </xf>
    <xf borderId="1" fillId="7" fontId="2" numFmtId="49" xfId="0" applyAlignment="1" applyBorder="1" applyFont="1" applyNumberFormat="1">
      <alignment horizontal="center" vertical="bottom"/>
    </xf>
    <xf borderId="2" fillId="0" fontId="11" numFmtId="49" xfId="0" applyAlignment="1" applyBorder="1" applyFont="1" applyNumberForma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1" fillId="0" fontId="6" numFmtId="164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5" fontId="6" numFmtId="0" xfId="0" applyAlignment="1" applyBorder="1" applyFont="1">
      <alignment horizontal="center"/>
    </xf>
    <xf borderId="1" fillId="5" fontId="6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/>
    </xf>
    <xf borderId="1" fillId="5" fontId="6" numFmtId="0" xfId="0" applyAlignment="1" applyBorder="1" applyFont="1">
      <alignment readingOrder="0"/>
    </xf>
    <xf borderId="0" fillId="5" fontId="6" numFmtId="0" xfId="0" applyAlignment="1" applyFont="1">
      <alignment readingOrder="0"/>
    </xf>
    <xf borderId="1" fillId="3" fontId="2" numFmtId="49" xfId="0" applyAlignment="1" applyBorder="1" applyFont="1" applyNumberFormat="1">
      <alignment horizontal="center" vertical="bottom"/>
    </xf>
    <xf borderId="0" fillId="4" fontId="5" numFmtId="0" xfId="0" applyFont="1"/>
    <xf borderId="2" fillId="5" fontId="11" numFmtId="49" xfId="0" applyAlignment="1" applyBorder="1" applyFont="1" applyNumberFormat="1">
      <alignment horizontal="center" readingOrder="0" vertical="bottom"/>
    </xf>
    <xf borderId="1" fillId="5" fontId="6" numFmtId="164" xfId="0" applyAlignment="1" applyBorder="1" applyFont="1" applyNumberFormat="1">
      <alignment horizontal="center" readingOrder="0"/>
    </xf>
    <xf borderId="2" fillId="5" fontId="6" numFmtId="49" xfId="0" applyAlignment="1" applyBorder="1" applyFont="1" applyNumberFormat="1">
      <alignment horizontal="center" readingOrder="0" vertical="bottom"/>
    </xf>
    <xf borderId="1" fillId="6" fontId="2" numFmtId="49" xfId="0" applyAlignment="1" applyBorder="1" applyFont="1" applyNumberFormat="1">
      <alignment horizontal="center" vertical="bottom"/>
    </xf>
    <xf borderId="1" fillId="7" fontId="11" numFmtId="0" xfId="0" applyAlignment="1" applyBorder="1" applyFont="1">
      <alignment horizontal="center" readingOrder="0"/>
    </xf>
    <xf borderId="1" fillId="0" fontId="11" numFmtId="49" xfId="0" applyAlignment="1" applyBorder="1" applyFont="1" applyNumberFormat="1">
      <alignment horizontal="center" readingOrder="0" vertical="bottom"/>
    </xf>
    <xf borderId="1" fillId="7" fontId="6" numFmtId="0" xfId="0" applyAlignment="1" applyBorder="1" applyFont="1">
      <alignment horizontal="center"/>
    </xf>
    <xf borderId="1" fillId="7" fontId="6" numFmtId="0" xfId="0" applyAlignment="1" applyBorder="1" applyFont="1">
      <alignment horizontal="center" readingOrder="0"/>
    </xf>
    <xf borderId="1" fillId="4" fontId="2" numFmtId="49" xfId="0" applyAlignment="1" applyBorder="1" applyFont="1" applyNumberFormat="1">
      <alignment horizontal="center" vertical="bottom"/>
    </xf>
    <xf borderId="1" fillId="5" fontId="6" numFmtId="0" xfId="0" applyBorder="1" applyFont="1"/>
    <xf borderId="1" fillId="4" fontId="6" numFmtId="0" xfId="0" applyAlignment="1" applyBorder="1" applyFont="1">
      <alignment horizontal="center"/>
    </xf>
    <xf borderId="0" fillId="4" fontId="6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24.38"/>
    <col customWidth="1" min="3" max="3" width="12.38"/>
    <col customWidth="1" min="4" max="4" width="17.13"/>
    <col customWidth="1" min="5" max="5" width="9.88"/>
    <col customWidth="1" min="6" max="6" width="9.13"/>
    <col customWidth="1" min="7" max="7" width="29.75"/>
    <col customWidth="1" min="8" max="8" width="12.25"/>
    <col customWidth="1" min="9" max="9" width="15.25"/>
    <col customWidth="1" min="10" max="10" width="3.0"/>
    <col customWidth="1" min="11" max="11" width="2.88"/>
    <col customWidth="1" min="12" max="15" width="2.63"/>
    <col customWidth="1" min="16" max="16" width="2.75"/>
    <col customWidth="1" min="17" max="17" width="2.63"/>
    <col customWidth="1" min="18" max="18" width="2.75"/>
    <col customWidth="1" min="19" max="40" width="3.0"/>
    <col customWidth="1" min="41" max="41" width="6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8</v>
      </c>
    </row>
    <row r="2">
      <c r="A2" s="3" t="s">
        <v>9</v>
      </c>
      <c r="B2" s="9" t="s">
        <v>11</v>
      </c>
      <c r="C2" s="13" t="s">
        <v>15</v>
      </c>
      <c r="D2" s="17" t="s">
        <v>14</v>
      </c>
      <c r="E2" s="20">
        <v>46064.0</v>
      </c>
      <c r="F2" s="9" t="s">
        <v>22</v>
      </c>
      <c r="G2" s="23" t="s">
        <v>23</v>
      </c>
      <c r="H2" s="23" t="s">
        <v>25</v>
      </c>
      <c r="I2" s="24" t="s">
        <v>30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30">
        <v>0.0</v>
      </c>
    </row>
    <row r="3">
      <c r="A3" s="31" t="s">
        <v>31</v>
      </c>
      <c r="B3" s="9" t="s">
        <v>11</v>
      </c>
      <c r="C3" s="13" t="s">
        <v>15</v>
      </c>
      <c r="D3" s="17" t="s">
        <v>14</v>
      </c>
      <c r="E3" s="20">
        <v>46064.0</v>
      </c>
      <c r="F3" s="9" t="s">
        <v>22</v>
      </c>
      <c r="G3" s="32" t="s">
        <v>24</v>
      </c>
      <c r="H3" s="32" t="s">
        <v>26</v>
      </c>
      <c r="I3" s="24" t="s">
        <v>30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30">
        <v>0.0</v>
      </c>
    </row>
    <row r="4">
      <c r="A4" s="40" t="s">
        <v>39</v>
      </c>
    </row>
    <row r="5">
      <c r="A5" s="42" t="s">
        <v>44</v>
      </c>
    </row>
  </sheetData>
  <dataValidations>
    <dataValidation type="list" allowBlank="1" showErrorMessage="1" sqref="C2:C3">
      <formula1>"ECONOMUS,CABESP,ALICE SAÚDE,VIVEST,PORTO SEGURO,AMAFRESP,UNIMED"</formula1>
    </dataValidation>
    <dataValidation type="list" allowBlank="1" showErrorMessage="1" sqref="I2:I3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3">
      <formula1>"NOVO PACIENTE,READMISSÃO,TROCA,INTENSIFICAÇÃO,DESMAME,COBERTURA,REVEZAMENTO"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0.88"/>
    <col customWidth="1" min="3" max="3" width="12.38"/>
    <col customWidth="1" min="4" max="4" width="20.88"/>
    <col customWidth="1" min="5" max="5" width="12.0"/>
    <col customWidth="1" min="6" max="6" width="14.25"/>
    <col customWidth="1" min="7" max="7" width="29.75"/>
    <col customWidth="1" min="8" max="8" width="14.13"/>
    <col customWidth="1" min="9" max="9" width="15.25"/>
    <col customWidth="1" min="10" max="10" width="3.0"/>
    <col customWidth="1" min="11" max="11" width="2.88"/>
    <col customWidth="1" min="12" max="15" width="2.63"/>
    <col customWidth="1" min="16" max="16" width="2.75"/>
    <col customWidth="1" min="17" max="17" width="2.63"/>
    <col customWidth="1" min="18" max="18" width="2.75"/>
    <col customWidth="1" min="19" max="40" width="3.0"/>
    <col customWidth="1" min="41" max="41" width="6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8</v>
      </c>
    </row>
    <row r="2">
      <c r="A2" s="3" t="s">
        <v>9</v>
      </c>
      <c r="B2" s="9" t="s">
        <v>11</v>
      </c>
      <c r="C2" s="13" t="s">
        <v>15</v>
      </c>
      <c r="D2" s="17"/>
      <c r="E2" s="20"/>
      <c r="F2" s="9" t="s">
        <v>22</v>
      </c>
      <c r="G2" s="23" t="s">
        <v>24</v>
      </c>
      <c r="H2" s="23" t="s">
        <v>26</v>
      </c>
      <c r="I2" s="24" t="s">
        <v>30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30">
        <v>0.0</v>
      </c>
    </row>
    <row r="3">
      <c r="A3" s="31" t="s">
        <v>31</v>
      </c>
      <c r="B3" s="33" t="s">
        <v>33</v>
      </c>
      <c r="C3" s="25" t="s">
        <v>34</v>
      </c>
      <c r="D3" s="11" t="s">
        <v>14</v>
      </c>
      <c r="E3" s="36">
        <v>46080.0</v>
      </c>
      <c r="F3" s="37" t="s">
        <v>35</v>
      </c>
      <c r="G3" s="32" t="s">
        <v>36</v>
      </c>
      <c r="H3" s="32" t="s">
        <v>37</v>
      </c>
      <c r="I3" s="24" t="s">
        <v>38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27"/>
    </row>
    <row r="4">
      <c r="A4" s="40" t="s">
        <v>39</v>
      </c>
      <c r="B4" s="33" t="s">
        <v>33</v>
      </c>
      <c r="C4" s="25" t="s">
        <v>34</v>
      </c>
      <c r="D4" s="11" t="s">
        <v>49</v>
      </c>
      <c r="E4" s="36">
        <v>46087.0</v>
      </c>
      <c r="F4" s="37" t="s">
        <v>35</v>
      </c>
      <c r="G4" s="32" t="s">
        <v>36</v>
      </c>
      <c r="H4" s="32" t="s">
        <v>37</v>
      </c>
      <c r="I4" s="24" t="s">
        <v>27</v>
      </c>
      <c r="J4" s="27"/>
      <c r="K4" s="27"/>
      <c r="L4" s="27"/>
      <c r="M4" s="27"/>
      <c r="N4" s="27"/>
      <c r="O4" s="27"/>
      <c r="P4" s="27"/>
      <c r="Q4" s="27"/>
      <c r="R4" s="27"/>
      <c r="S4" s="27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27"/>
    </row>
    <row r="5">
      <c r="A5" s="42" t="s">
        <v>44</v>
      </c>
      <c r="B5" s="6" t="s">
        <v>12</v>
      </c>
      <c r="C5" s="8"/>
      <c r="D5" s="11" t="s">
        <v>14</v>
      </c>
      <c r="E5" s="14">
        <v>46093.0</v>
      </c>
      <c r="F5" s="16" t="s">
        <v>16</v>
      </c>
      <c r="G5" s="19" t="s">
        <v>19</v>
      </c>
      <c r="H5" s="22" t="s">
        <v>21</v>
      </c>
      <c r="I5" s="24" t="s">
        <v>27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28"/>
      <c r="AJ5" s="28"/>
      <c r="AK5" s="28"/>
      <c r="AL5" s="28"/>
      <c r="AM5" s="28"/>
      <c r="AN5" s="28"/>
      <c r="AO5" s="8"/>
    </row>
  </sheetData>
  <dataValidations>
    <dataValidation type="list" allowBlank="1" showErrorMessage="1" sqref="C2:C4">
      <formula1>"ECONOMUS,CABESP,ALICE SAÚDE,VIVEST,PORTO SEGURO,AMAFRESP,UNIMED"</formula1>
    </dataValidation>
    <dataValidation type="list" allowBlank="1" showErrorMessage="1" sqref="I2:I5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5">
      <formula1>"NOVO PACIENTE,READMISSÃO,TROCA,INTENSIFICAÇÃO,DESMAME,COBERTURA,REVEZAMENTO"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0.88"/>
    <col customWidth="1" min="3" max="3" width="12.38"/>
    <col customWidth="1" min="4" max="4" width="20.88"/>
    <col customWidth="1" min="5" max="5" width="12.0"/>
    <col customWidth="1" min="6" max="6" width="16.5"/>
    <col customWidth="1" min="7" max="7" width="29.75"/>
    <col customWidth="1" min="8" max="8" width="14.13"/>
    <col customWidth="1" min="9" max="9" width="15.25"/>
    <col customWidth="1" min="10" max="10" width="3.0"/>
    <col customWidth="1" min="11" max="11" width="2.88"/>
    <col customWidth="1" min="12" max="15" width="2.63"/>
    <col customWidth="1" min="16" max="16" width="2.75"/>
    <col customWidth="1" min="17" max="17" width="2.63"/>
    <col customWidth="1" min="18" max="18" width="2.75"/>
    <col customWidth="1" min="19" max="40" width="3.0"/>
    <col customWidth="1" min="41" max="41" width="6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8</v>
      </c>
    </row>
    <row r="2">
      <c r="A2" s="4" t="s">
        <v>10</v>
      </c>
      <c r="B2" s="6" t="s">
        <v>12</v>
      </c>
      <c r="C2" s="8"/>
      <c r="D2" s="11"/>
      <c r="E2" s="14"/>
      <c r="F2" s="16" t="s">
        <v>16</v>
      </c>
      <c r="G2" s="19" t="s">
        <v>19</v>
      </c>
      <c r="H2" s="22" t="s">
        <v>21</v>
      </c>
      <c r="I2" s="24" t="s">
        <v>27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8"/>
    </row>
    <row r="3">
      <c r="A3" s="29"/>
      <c r="B3" s="6" t="s">
        <v>12</v>
      </c>
      <c r="C3" s="8"/>
      <c r="D3" s="11"/>
      <c r="E3" s="14"/>
      <c r="F3" s="16"/>
      <c r="G3" s="19" t="s">
        <v>19</v>
      </c>
      <c r="H3" s="22" t="s">
        <v>21</v>
      </c>
      <c r="I3" s="24" t="s">
        <v>32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>
      <c r="A4" s="29" t="s">
        <v>39</v>
      </c>
      <c r="B4" s="16" t="s">
        <v>40</v>
      </c>
      <c r="C4" s="8"/>
      <c r="D4" s="11" t="s">
        <v>14</v>
      </c>
      <c r="E4" s="14">
        <v>46127.0</v>
      </c>
      <c r="F4" s="16" t="s">
        <v>41</v>
      </c>
      <c r="G4" s="16" t="s">
        <v>42</v>
      </c>
      <c r="H4" s="16" t="s">
        <v>43</v>
      </c>
      <c r="I4" s="24" t="s">
        <v>28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>
      <c r="A5" s="43" t="s">
        <v>44</v>
      </c>
    </row>
    <row r="6">
      <c r="A6" s="5" t="s">
        <v>9</v>
      </c>
    </row>
  </sheetData>
  <dataValidations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4">
      <formula1>"NOVO PACIENTE,READMISSÃO,TROCA,INTENSIFICAÇÃO,DESMAME,COBERTURA,REVEZAMENTO"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0.88"/>
    <col customWidth="1" min="3" max="3" width="12.38"/>
    <col customWidth="1" min="4" max="4" width="20.88"/>
    <col customWidth="1" min="5" max="5" width="12.0"/>
    <col customWidth="1" min="6" max="6" width="16.5"/>
    <col customWidth="1" min="7" max="7" width="29.75"/>
    <col customWidth="1" min="8" max="8" width="14.13"/>
    <col customWidth="1" min="9" max="9" width="15.25"/>
    <col customWidth="1" min="10" max="10" width="3.0"/>
    <col customWidth="1" min="11" max="11" width="2.88"/>
    <col customWidth="1" min="12" max="15" width="2.63"/>
    <col customWidth="1" min="16" max="16" width="2.75"/>
    <col customWidth="1" min="17" max="17" width="2.63"/>
    <col customWidth="1" min="18" max="18" width="2.75"/>
    <col customWidth="1" min="19" max="40" width="3.0"/>
    <col customWidth="1" min="41" max="41" width="6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8</v>
      </c>
    </row>
    <row r="2">
      <c r="A2" s="5" t="s">
        <v>9</v>
      </c>
      <c r="B2" s="7" t="s">
        <v>13</v>
      </c>
      <c r="C2" s="10"/>
      <c r="D2" s="12" t="s">
        <v>14</v>
      </c>
      <c r="E2" s="15">
        <v>46155.0</v>
      </c>
      <c r="F2" s="7" t="s">
        <v>17</v>
      </c>
      <c r="G2" s="18" t="s">
        <v>18</v>
      </c>
      <c r="H2" s="21" t="s">
        <v>20</v>
      </c>
      <c r="I2" s="25" t="s">
        <v>28</v>
      </c>
      <c r="J2" s="26" t="s">
        <v>29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26">
        <v>1.0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>
        <f t="shared" ref="AO2:AO6" si="1">SUM(J2:AN2)</f>
        <v>1</v>
      </c>
    </row>
    <row r="3">
      <c r="A3" s="4" t="s">
        <v>10</v>
      </c>
      <c r="B3" s="34" t="s">
        <v>12</v>
      </c>
      <c r="C3" s="35"/>
      <c r="D3" s="11"/>
      <c r="E3" s="15"/>
      <c r="F3" s="7" t="s">
        <v>16</v>
      </c>
      <c r="G3" s="38" t="s">
        <v>19</v>
      </c>
      <c r="H3" s="38" t="s">
        <v>21</v>
      </c>
      <c r="I3" s="24" t="s">
        <v>27</v>
      </c>
      <c r="J3" s="26" t="s">
        <v>29</v>
      </c>
      <c r="K3" s="8"/>
      <c r="L3" s="8"/>
      <c r="M3" s="26">
        <v>1.0</v>
      </c>
      <c r="N3" s="8"/>
      <c r="O3" s="8"/>
      <c r="P3" s="8"/>
      <c r="Q3" s="8"/>
      <c r="R3" s="8"/>
      <c r="S3" s="8"/>
      <c r="T3" s="8"/>
      <c r="U3" s="26">
        <v>1.0</v>
      </c>
      <c r="V3" s="8"/>
      <c r="W3" s="8"/>
      <c r="X3" s="8"/>
      <c r="Y3" s="28"/>
      <c r="Z3" s="28"/>
      <c r="AA3" s="41">
        <v>1.0</v>
      </c>
      <c r="AB3" s="28"/>
      <c r="AC3" s="41">
        <v>1.0</v>
      </c>
      <c r="AD3" s="28"/>
      <c r="AE3" s="28"/>
      <c r="AF3" s="28"/>
      <c r="AG3" s="28"/>
      <c r="AH3" s="28"/>
      <c r="AI3" s="41">
        <v>1.0</v>
      </c>
      <c r="AJ3" s="28"/>
      <c r="AK3" s="28"/>
      <c r="AL3" s="28"/>
      <c r="AM3" s="28"/>
      <c r="AN3" s="28"/>
      <c r="AO3" s="8">
        <f t="shared" si="1"/>
        <v>5</v>
      </c>
    </row>
    <row r="4">
      <c r="A4" s="43" t="s">
        <v>44</v>
      </c>
      <c r="B4" s="44" t="s">
        <v>45</v>
      </c>
      <c r="C4" s="35"/>
      <c r="D4" s="11" t="s">
        <v>14</v>
      </c>
      <c r="E4" s="15">
        <v>46169.0</v>
      </c>
      <c r="F4" s="7" t="s">
        <v>46</v>
      </c>
      <c r="G4" s="45" t="s">
        <v>47</v>
      </c>
      <c r="H4" s="46" t="s">
        <v>48</v>
      </c>
      <c r="I4" s="24" t="s">
        <v>28</v>
      </c>
      <c r="J4" s="26" t="s">
        <v>29</v>
      </c>
      <c r="K4" s="8"/>
      <c r="L4" s="8"/>
      <c r="M4" s="8"/>
      <c r="N4" s="8"/>
      <c r="O4" s="8"/>
      <c r="P4" s="8"/>
      <c r="Q4" s="8"/>
      <c r="R4" s="8"/>
      <c r="S4" s="26"/>
      <c r="T4" s="8"/>
      <c r="U4" s="8"/>
      <c r="V4" s="8"/>
      <c r="W4" s="8"/>
      <c r="X4" s="8"/>
      <c r="Y4" s="8"/>
      <c r="Z4" s="8"/>
      <c r="AA4" s="8"/>
      <c r="AB4" s="8"/>
      <c r="AC4" s="47"/>
      <c r="AD4" s="47"/>
      <c r="AE4" s="47"/>
      <c r="AF4" s="47"/>
      <c r="AG4" s="47"/>
      <c r="AH4" s="47"/>
      <c r="AI4" s="47"/>
      <c r="AJ4" s="41"/>
      <c r="AK4" s="41">
        <v>1.0</v>
      </c>
      <c r="AL4" s="28"/>
      <c r="AM4" s="28"/>
      <c r="AN4" s="28"/>
      <c r="AO4" s="8">
        <f t="shared" si="1"/>
        <v>1</v>
      </c>
    </row>
    <row r="5">
      <c r="A5" s="48" t="s">
        <v>39</v>
      </c>
      <c r="B5" s="49" t="s">
        <v>50</v>
      </c>
      <c r="C5" s="35"/>
      <c r="D5" s="11" t="s">
        <v>14</v>
      </c>
      <c r="E5" s="15">
        <v>46150.0</v>
      </c>
      <c r="F5" s="7" t="s">
        <v>51</v>
      </c>
      <c r="G5" s="50" t="s">
        <v>52</v>
      </c>
      <c r="H5" s="51" t="s">
        <v>53</v>
      </c>
      <c r="I5" s="24" t="s">
        <v>28</v>
      </c>
      <c r="J5" s="8"/>
      <c r="K5" s="8"/>
      <c r="L5" s="8"/>
      <c r="M5" s="8"/>
      <c r="N5" s="8"/>
      <c r="O5" s="8"/>
      <c r="P5" s="8"/>
      <c r="Q5" s="8"/>
      <c r="R5" s="8"/>
      <c r="S5" s="26">
        <v>1.0</v>
      </c>
      <c r="T5" s="8"/>
      <c r="U5" s="8"/>
      <c r="V5" s="8"/>
      <c r="W5" s="8"/>
      <c r="X5" s="8"/>
      <c r="Y5" s="8"/>
      <c r="Z5" s="8"/>
      <c r="AA5" s="8"/>
      <c r="AB5" s="8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8">
        <f t="shared" si="1"/>
        <v>1</v>
      </c>
    </row>
    <row r="6">
      <c r="A6" s="52"/>
      <c r="B6" s="7" t="s">
        <v>54</v>
      </c>
      <c r="C6" s="10"/>
      <c r="D6" s="12" t="s">
        <v>14</v>
      </c>
      <c r="E6" s="15">
        <v>46168.0</v>
      </c>
      <c r="F6" s="7" t="s">
        <v>55</v>
      </c>
      <c r="G6" s="18" t="s">
        <v>56</v>
      </c>
      <c r="H6" s="21" t="s">
        <v>57</v>
      </c>
      <c r="I6" s="25" t="s">
        <v>38</v>
      </c>
      <c r="J6" s="26" t="s">
        <v>29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26">
        <v>1.0</v>
      </c>
      <c r="AK6" s="8"/>
      <c r="AL6" s="8"/>
      <c r="AM6" s="8"/>
      <c r="AN6" s="8"/>
      <c r="AO6" s="8">
        <f t="shared" si="1"/>
        <v>1</v>
      </c>
    </row>
    <row r="7">
      <c r="A7" s="54"/>
    </row>
  </sheetData>
  <dataValidations>
    <dataValidation type="list" allowBlank="1" showErrorMessage="1" sqref="I2:I6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6">
      <formula1>"NOVO PACIENTE,READMISSÃO,TROCA,INTENSIFICAÇÃO,DESMAME,COBERTURA,REVEZAMENTO"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0.88"/>
    <col customWidth="1" min="3" max="3" width="12.38"/>
    <col customWidth="1" min="4" max="4" width="20.88"/>
    <col customWidth="1" min="5" max="5" width="12.0"/>
    <col customWidth="1" min="6" max="6" width="16.5"/>
    <col customWidth="1" min="7" max="7" width="29.75"/>
    <col customWidth="1" min="8" max="8" width="14.13"/>
    <col customWidth="1" min="9" max="9" width="15.25"/>
    <col customWidth="1" min="10" max="10" width="3.0"/>
    <col customWidth="1" min="11" max="11" width="2.88"/>
    <col customWidth="1" min="12" max="15" width="2.63"/>
    <col customWidth="1" min="16" max="16" width="2.75"/>
    <col customWidth="1" min="17" max="17" width="2.63"/>
    <col customWidth="1" min="18" max="18" width="2.75"/>
    <col customWidth="1" min="19" max="40" width="3.0"/>
    <col customWidth="1" min="41" max="42" width="6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8</v>
      </c>
      <c r="AP1" s="59" t="s">
        <v>59</v>
      </c>
    </row>
    <row r="2">
      <c r="A2" s="4" t="s">
        <v>10</v>
      </c>
      <c r="B2" s="34" t="s">
        <v>12</v>
      </c>
      <c r="C2" s="35"/>
      <c r="D2" s="11"/>
      <c r="E2" s="15"/>
      <c r="F2" s="7" t="s">
        <v>16</v>
      </c>
      <c r="G2" s="38" t="s">
        <v>19</v>
      </c>
      <c r="H2" s="38" t="s">
        <v>21</v>
      </c>
      <c r="I2" s="24" t="s">
        <v>27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8">
        <f t="shared" ref="AO2:AO3" si="1">SUM(J2:AN2)</f>
        <v>0</v>
      </c>
      <c r="AP2" s="69"/>
    </row>
    <row r="3">
      <c r="A3" s="5" t="s">
        <v>9</v>
      </c>
      <c r="B3" s="7" t="s">
        <v>54</v>
      </c>
      <c r="C3" s="10"/>
      <c r="D3" s="12"/>
      <c r="E3" s="15"/>
      <c r="F3" s="7" t="s">
        <v>55</v>
      </c>
      <c r="G3" s="18" t="s">
        <v>56</v>
      </c>
      <c r="H3" s="21" t="s">
        <v>57</v>
      </c>
      <c r="I3" s="25" t="s">
        <v>38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>
        <f t="shared" si="1"/>
        <v>0</v>
      </c>
      <c r="AP3" s="69"/>
    </row>
    <row r="4">
      <c r="A4" s="29" t="s">
        <v>39</v>
      </c>
    </row>
    <row r="5">
      <c r="A5" s="43" t="s">
        <v>44</v>
      </c>
    </row>
  </sheetData>
  <dataValidations>
    <dataValidation type="list" allowBlank="1" showErrorMessage="1" sqref="I2:I3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3">
      <formula1>"NOVO PACIENTE,READMISSÃO,TROCA,INTENSIFICAÇÃO,DESMAME,COBERTURA,REVEZAMENTO"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3.0"/>
    <col customWidth="1" min="2" max="2" width="36.5"/>
    <col customWidth="1" min="3" max="3" width="20.88"/>
    <col customWidth="1" min="4" max="4" width="12.0"/>
    <col customWidth="1" min="5" max="5" width="16.5"/>
    <col customWidth="1" min="6" max="6" width="29.75"/>
    <col customWidth="1" min="7" max="7" width="14.13"/>
    <col customWidth="1" min="8" max="8" width="15.25"/>
    <col customWidth="1" min="9" max="39" width="4.63"/>
    <col customWidth="1" min="40" max="40" width="9.0"/>
    <col customWidth="1" min="41" max="42" width="6.13"/>
  </cols>
  <sheetData>
    <row r="1">
      <c r="A1" s="55" t="s">
        <v>58</v>
      </c>
      <c r="B1" s="56" t="s">
        <v>0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>
        <v>1.0</v>
      </c>
      <c r="J1" s="56">
        <v>2.0</v>
      </c>
      <c r="K1" s="56">
        <v>3.0</v>
      </c>
      <c r="L1" s="56">
        <v>4.0</v>
      </c>
      <c r="M1" s="56">
        <v>5.0</v>
      </c>
      <c r="N1" s="56">
        <v>6.0</v>
      </c>
      <c r="O1" s="56">
        <v>7.0</v>
      </c>
      <c r="P1" s="56">
        <v>8.0</v>
      </c>
      <c r="Q1" s="56">
        <v>9.0</v>
      </c>
      <c r="R1" s="56">
        <v>10.0</v>
      </c>
      <c r="S1" s="56">
        <v>11.0</v>
      </c>
      <c r="T1" s="56">
        <v>12.0</v>
      </c>
      <c r="U1" s="56">
        <v>13.0</v>
      </c>
      <c r="V1" s="56">
        <v>14.0</v>
      </c>
      <c r="W1" s="56">
        <v>15.0</v>
      </c>
      <c r="X1" s="56">
        <v>16.0</v>
      </c>
      <c r="Y1" s="56">
        <v>17.0</v>
      </c>
      <c r="Z1" s="56">
        <v>18.0</v>
      </c>
      <c r="AA1" s="56">
        <v>19.0</v>
      </c>
      <c r="AB1" s="56">
        <v>20.0</v>
      </c>
      <c r="AC1" s="56">
        <v>21.0</v>
      </c>
      <c r="AD1" s="56">
        <v>22.0</v>
      </c>
      <c r="AE1" s="56">
        <v>23.0</v>
      </c>
      <c r="AF1" s="56">
        <v>24.0</v>
      </c>
      <c r="AG1" s="56">
        <v>25.0</v>
      </c>
      <c r="AH1" s="56">
        <v>26.0</v>
      </c>
      <c r="AI1" s="56">
        <v>27.0</v>
      </c>
      <c r="AJ1" s="56">
        <v>28.0</v>
      </c>
      <c r="AK1" s="56">
        <v>29.0</v>
      </c>
      <c r="AL1" s="56">
        <v>30.0</v>
      </c>
      <c r="AM1" s="56">
        <v>31.0</v>
      </c>
      <c r="AN1" s="56" t="s">
        <v>8</v>
      </c>
      <c r="AO1" s="55" t="s">
        <v>59</v>
      </c>
      <c r="AP1" s="55" t="s">
        <v>60</v>
      </c>
    </row>
    <row r="2">
      <c r="A2" s="57" t="s">
        <v>44</v>
      </c>
      <c r="B2" s="46" t="s">
        <v>12</v>
      </c>
      <c r="C2" s="58"/>
      <c r="D2" s="60"/>
      <c r="E2" s="61" t="s">
        <v>16</v>
      </c>
      <c r="F2" s="38" t="s">
        <v>19</v>
      </c>
      <c r="G2" s="38" t="s">
        <v>21</v>
      </c>
      <c r="H2" s="24" t="s">
        <v>27</v>
      </c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3"/>
      <c r="Y2" s="63"/>
      <c r="Z2" s="63"/>
      <c r="AA2" s="64"/>
      <c r="AB2" s="64"/>
      <c r="AC2" s="64"/>
      <c r="AD2" s="64"/>
      <c r="AE2" s="64"/>
      <c r="AF2" s="64"/>
      <c r="AG2" s="64"/>
      <c r="AH2" s="63"/>
      <c r="AI2" s="63"/>
      <c r="AJ2" s="63"/>
      <c r="AK2" s="63"/>
      <c r="AL2" s="63"/>
      <c r="AM2" s="63"/>
      <c r="AN2" s="65">
        <f t="shared" ref="AN2:AN5" si="1">SUM(I2:AM2)</f>
        <v>0</v>
      </c>
      <c r="AO2" s="66" t="s">
        <v>29</v>
      </c>
      <c r="AP2" s="67" t="s">
        <v>29</v>
      </c>
    </row>
    <row r="3">
      <c r="A3" s="68" t="s">
        <v>9</v>
      </c>
      <c r="B3" s="64" t="s">
        <v>61</v>
      </c>
      <c r="C3" s="70" t="s">
        <v>14</v>
      </c>
      <c r="D3" s="71">
        <v>46217.0</v>
      </c>
      <c r="E3" s="64" t="s">
        <v>62</v>
      </c>
      <c r="F3" s="18" t="s">
        <v>63</v>
      </c>
      <c r="G3" s="18" t="s">
        <v>64</v>
      </c>
      <c r="H3" s="72" t="s">
        <v>28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4"/>
      <c r="AA3" s="64"/>
      <c r="AB3" s="64"/>
      <c r="AC3" s="64"/>
      <c r="AD3" s="64"/>
      <c r="AE3" s="64"/>
      <c r="AF3" s="64"/>
      <c r="AG3" s="64"/>
      <c r="AH3" s="63"/>
      <c r="AI3" s="63"/>
      <c r="AJ3" s="63"/>
      <c r="AK3" s="63"/>
      <c r="AL3" s="63"/>
      <c r="AM3" s="63"/>
      <c r="AN3" s="65">
        <f t="shared" si="1"/>
        <v>0</v>
      </c>
      <c r="AO3" s="66" t="s">
        <v>29</v>
      </c>
      <c r="AP3" s="67" t="s">
        <v>29</v>
      </c>
    </row>
    <row r="4">
      <c r="A4" s="73" t="s">
        <v>39</v>
      </c>
      <c r="B4" s="74" t="s">
        <v>54</v>
      </c>
      <c r="C4" s="75"/>
      <c r="D4" s="60"/>
      <c r="E4" s="61" t="s">
        <v>55</v>
      </c>
      <c r="F4" s="18" t="s">
        <v>56</v>
      </c>
      <c r="G4" s="18" t="s">
        <v>57</v>
      </c>
      <c r="H4" s="25" t="s">
        <v>38</v>
      </c>
      <c r="I4" s="62"/>
      <c r="J4" s="62"/>
      <c r="K4" s="62"/>
      <c r="L4" s="62"/>
      <c r="M4" s="62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7"/>
      <c r="AA4" s="77"/>
      <c r="AB4" s="77"/>
      <c r="AC4" s="77"/>
      <c r="AD4" s="77"/>
      <c r="AE4" s="77"/>
      <c r="AF4" s="77"/>
      <c r="AG4" s="77"/>
      <c r="AH4" s="76"/>
      <c r="AI4" s="76"/>
      <c r="AJ4" s="76"/>
      <c r="AK4" s="76"/>
      <c r="AL4" s="76"/>
      <c r="AM4" s="76"/>
      <c r="AN4" s="65">
        <f t="shared" si="1"/>
        <v>0</v>
      </c>
      <c r="AO4" s="66" t="s">
        <v>69</v>
      </c>
      <c r="AP4" s="67"/>
    </row>
    <row r="5">
      <c r="A5" s="78" t="s">
        <v>31</v>
      </c>
      <c r="B5" s="61" t="s">
        <v>70</v>
      </c>
      <c r="C5" s="75" t="s">
        <v>14</v>
      </c>
      <c r="D5" s="60">
        <v>46206.0</v>
      </c>
      <c r="E5" s="61" t="s">
        <v>71</v>
      </c>
      <c r="F5" s="61" t="s">
        <v>72</v>
      </c>
      <c r="G5" s="61" t="s">
        <v>73</v>
      </c>
      <c r="H5" s="25" t="s">
        <v>28</v>
      </c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1"/>
      <c r="AG5" s="62"/>
      <c r="AH5" s="61"/>
      <c r="AI5" s="61"/>
      <c r="AJ5" s="61"/>
      <c r="AK5" s="61"/>
      <c r="AL5" s="62"/>
      <c r="AM5" s="62"/>
      <c r="AN5" s="65">
        <f t="shared" si="1"/>
        <v>0</v>
      </c>
      <c r="AO5" s="80"/>
      <c r="AP5" s="81"/>
    </row>
    <row r="6"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</row>
    <row r="7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</row>
    <row r="8">
      <c r="A8" s="82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</row>
    <row r="9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</row>
    <row r="10">
      <c r="A10" s="82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</row>
    <row r="11">
      <c r="A11" s="82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</row>
    <row r="12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</row>
    <row r="13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</row>
    <row r="14">
      <c r="A14" s="82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</row>
    <row r="15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</row>
    <row r="16">
      <c r="A16" s="82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</row>
    <row r="17">
      <c r="A17" s="82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</row>
    <row r="18">
      <c r="A18" s="82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</row>
  </sheetData>
  <dataValidations>
    <dataValidation type="list" allowBlank="1" showErrorMessage="1" sqref="H2:H5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5">
      <formula1>"NOVO PACIENTE,READMISSÃO,TROCA,INTENSIFICAÇÃO,DESMAME,COBERTURA,REVEZAMENTO"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3.0"/>
    <col customWidth="1" min="2" max="2" width="36.5"/>
    <col customWidth="1" min="3" max="3" width="20.88"/>
    <col customWidth="1" min="4" max="4" width="12.0"/>
    <col customWidth="1" min="5" max="5" width="16.5"/>
    <col customWidth="1" min="6" max="6" width="37.0"/>
    <col customWidth="1" min="7" max="7" width="14.13"/>
    <col customWidth="1" min="8" max="8" width="15.25"/>
    <col customWidth="1" min="9" max="39" width="4.63"/>
    <col customWidth="1" min="40" max="40" width="9.0"/>
    <col customWidth="1" min="41" max="41" width="6.13"/>
  </cols>
  <sheetData>
    <row r="1">
      <c r="A1" s="55" t="s">
        <v>58</v>
      </c>
      <c r="B1" s="56" t="s">
        <v>0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>
        <v>1.0</v>
      </c>
      <c r="J1" s="56">
        <v>2.0</v>
      </c>
      <c r="K1" s="56">
        <v>3.0</v>
      </c>
      <c r="L1" s="56">
        <v>4.0</v>
      </c>
      <c r="M1" s="56">
        <v>5.0</v>
      </c>
      <c r="N1" s="56">
        <v>6.0</v>
      </c>
      <c r="O1" s="56">
        <v>7.0</v>
      </c>
      <c r="P1" s="56">
        <v>8.0</v>
      </c>
      <c r="Q1" s="56">
        <v>9.0</v>
      </c>
      <c r="R1" s="56">
        <v>10.0</v>
      </c>
      <c r="S1" s="56">
        <v>11.0</v>
      </c>
      <c r="T1" s="56">
        <v>12.0</v>
      </c>
      <c r="U1" s="56">
        <v>13.0</v>
      </c>
      <c r="V1" s="56">
        <v>14.0</v>
      </c>
      <c r="W1" s="56">
        <v>15.0</v>
      </c>
      <c r="X1" s="56">
        <v>16.0</v>
      </c>
      <c r="Y1" s="56">
        <v>17.0</v>
      </c>
      <c r="Z1" s="56">
        <v>18.0</v>
      </c>
      <c r="AA1" s="56">
        <v>19.0</v>
      </c>
      <c r="AB1" s="56">
        <v>20.0</v>
      </c>
      <c r="AC1" s="56">
        <v>21.0</v>
      </c>
      <c r="AD1" s="56">
        <v>22.0</v>
      </c>
      <c r="AE1" s="56">
        <v>23.0</v>
      </c>
      <c r="AF1" s="56">
        <v>24.0</v>
      </c>
      <c r="AG1" s="56">
        <v>25.0</v>
      </c>
      <c r="AH1" s="56">
        <v>26.0</v>
      </c>
      <c r="AI1" s="56">
        <v>27.0</v>
      </c>
      <c r="AJ1" s="56">
        <v>28.0</v>
      </c>
      <c r="AK1" s="56">
        <v>29.0</v>
      </c>
      <c r="AL1" s="56">
        <v>30.0</v>
      </c>
      <c r="AM1" s="56">
        <v>31.0</v>
      </c>
      <c r="AN1" s="56" t="s">
        <v>8</v>
      </c>
      <c r="AO1" s="55" t="s">
        <v>59</v>
      </c>
    </row>
    <row r="2">
      <c r="A2" s="57" t="s">
        <v>44</v>
      </c>
      <c r="B2" s="46" t="s">
        <v>65</v>
      </c>
      <c r="C2" s="58" t="s">
        <v>14</v>
      </c>
      <c r="D2" s="60">
        <v>46246.0</v>
      </c>
      <c r="E2" s="61" t="s">
        <v>66</v>
      </c>
      <c r="F2" s="38" t="s">
        <v>67</v>
      </c>
      <c r="G2" s="38" t="s">
        <v>68</v>
      </c>
      <c r="H2" s="24" t="s">
        <v>28</v>
      </c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3"/>
      <c r="Y2" s="63"/>
      <c r="Z2" s="63"/>
      <c r="AA2" s="64"/>
      <c r="AB2" s="64"/>
      <c r="AC2" s="64"/>
      <c r="AD2" s="64"/>
      <c r="AE2" s="64"/>
      <c r="AF2" s="64"/>
      <c r="AG2" s="64"/>
      <c r="AH2" s="63"/>
      <c r="AI2" s="63"/>
      <c r="AJ2" s="63"/>
      <c r="AK2" s="63"/>
      <c r="AL2" s="63"/>
      <c r="AM2" s="63"/>
      <c r="AN2" s="65">
        <f t="shared" ref="AN2:AN3" si="1">SUM(I2:AM2)</f>
        <v>0</v>
      </c>
      <c r="AO2" s="79"/>
    </row>
    <row r="3">
      <c r="A3" s="68" t="s">
        <v>9</v>
      </c>
      <c r="B3" s="46" t="s">
        <v>12</v>
      </c>
      <c r="C3" s="58"/>
      <c r="D3" s="60"/>
      <c r="E3" s="61" t="s">
        <v>16</v>
      </c>
      <c r="F3" s="38" t="s">
        <v>19</v>
      </c>
      <c r="G3" s="38" t="s">
        <v>21</v>
      </c>
      <c r="H3" s="24" t="s">
        <v>27</v>
      </c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3"/>
      <c r="Y3" s="63"/>
      <c r="Z3" s="63"/>
      <c r="AA3" s="64"/>
      <c r="AB3" s="64"/>
      <c r="AC3" s="64"/>
      <c r="AD3" s="64"/>
      <c r="AE3" s="64"/>
      <c r="AF3" s="64"/>
      <c r="AG3" s="64"/>
      <c r="AH3" s="63"/>
      <c r="AI3" s="63"/>
      <c r="AJ3" s="63"/>
      <c r="AK3" s="63"/>
      <c r="AL3" s="63"/>
      <c r="AM3" s="63"/>
      <c r="AN3" s="65">
        <f t="shared" si="1"/>
        <v>0</v>
      </c>
      <c r="AO3" s="79"/>
    </row>
    <row r="4">
      <c r="A4" s="73" t="s">
        <v>39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</row>
    <row r="5">
      <c r="A5" s="78" t="s">
        <v>31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</row>
    <row r="6"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</row>
    <row r="7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</row>
    <row r="8"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</row>
    <row r="9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</row>
    <row r="10">
      <c r="A10" s="82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</row>
    <row r="11">
      <c r="A11" s="82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</row>
    <row r="12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</row>
    <row r="13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</row>
    <row r="14">
      <c r="A14" s="82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</row>
    <row r="15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</row>
    <row r="16">
      <c r="A16" s="82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</row>
  </sheetData>
  <dataValidations>
    <dataValidation type="list" allowBlank="1" showErrorMessage="1" sqref="H2:H3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3">
      <formula1>"NOVO PACIENTE,READMISSÃO,TROCA,INTENSIFICAÇÃO,DESMAME,COBERTURA,REVEZAMENTO"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