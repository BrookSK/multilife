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ANEIRO26" sheetId="1" r:id="rId5"/>
    <sheet state="hidden" name="FEVEREIRO26" sheetId="2" r:id="rId6"/>
    <sheet state="hidden" name="MARÇO26" sheetId="3" r:id="rId7"/>
    <sheet state="hidden" name="ABRIL26" sheetId="4" r:id="rId8"/>
    <sheet state="hidden" name="MAIO26" sheetId="5" r:id="rId9"/>
    <sheet state="hidden" name="JUNHO26" sheetId="6" r:id="rId10"/>
    <sheet state="visible" name="JULHO26" sheetId="7" r:id="rId11"/>
    <sheet state="visible" name="AGOSTO26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Profissional declinou.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paciente veio a óbito em 23/02. </t>
      </text>
    </comment>
    <comment authorId="0" ref="AI4">
      <text>
        <t xml:space="preserve">readmissão 26/03.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Prof declinou na data de hoje, sem atendimento em maio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">
      <text>
        <t xml:space="preserve">Período autorizado
26/06/2026 a 26/07/2026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Profissional declinou em 10/07/2026</t>
      </text>
    </comment>
    <comment authorId="0" ref="G6">
      <text>
        <t xml:space="preserve">Profissional declinou em 20/07/2026, nenhum atendimento realizado</t>
      </text>
    </comment>
    <comment authorId="0" ref="G5">
      <text>
        <t xml:space="preserve">Profissional declinou em 10/07/2026. Profissional não retorna.</t>
      </text>
    </comment>
    <comment authorId="0" ref="AP8">
      <text>
        <t xml:space="preserve">PROFISSIONAL DECLINOU E NÃO REALIZOU ATEND EM JULHO.</t>
      </text>
    </comment>
    <comment authorId="0" ref="G8">
      <text>
        <t xml:space="preserve">Profissional declinou em 28/07. Não houveram atend em julho.</t>
      </text>
    </comment>
  </commentList>
</comments>
</file>

<file path=xl/sharedStrings.xml><?xml version="1.0" encoding="utf-8"?>
<sst xmlns="http://schemas.openxmlformats.org/spreadsheetml/2006/main" count="342" uniqueCount="91">
  <si>
    <t xml:space="preserve">STATUS </t>
  </si>
  <si>
    <t xml:space="preserve"> </t>
  </si>
  <si>
    <t>PACIENTES</t>
  </si>
  <si>
    <t>CONVÊNIO</t>
  </si>
  <si>
    <t>MOTIVO</t>
  </si>
  <si>
    <t>DATA</t>
  </si>
  <si>
    <t xml:space="preserve">CIDADE </t>
  </si>
  <si>
    <t>PROFISSIONAIS</t>
  </si>
  <si>
    <t>TELEFONE</t>
  </si>
  <si>
    <t>PAD</t>
  </si>
  <si>
    <t>TOTAL</t>
  </si>
  <si>
    <t>INTERNAÇÃO</t>
  </si>
  <si>
    <t xml:space="preserve"> ANTONIO BUENO DE CAMARGO</t>
  </si>
  <si>
    <t xml:space="preserve"> ELCO  APPARECIDO FORNAZALI</t>
  </si>
  <si>
    <t>NAELCIO FERREIRA</t>
  </si>
  <si>
    <t>UNIMED</t>
  </si>
  <si>
    <t>ECONOMUS</t>
  </si>
  <si>
    <t>NOVO PACIENTE</t>
  </si>
  <si>
    <t>RIO CLARO</t>
  </si>
  <si>
    <t>JOANOPOLIS</t>
  </si>
  <si>
    <t>CAMPINAS</t>
  </si>
  <si>
    <t xml:space="preserve"> Karolayne Mahara de Oliveira</t>
  </si>
  <si>
    <t>Lana Simone Wanzeller de Melo</t>
  </si>
  <si>
    <t>Julia Fenti Mengardo</t>
  </si>
  <si>
    <t>Talita Paulino Miranda</t>
  </si>
  <si>
    <t>11 91124-1865</t>
  </si>
  <si>
    <t>19 99548-6744</t>
  </si>
  <si>
    <t>19 99899-1992</t>
  </si>
  <si>
    <t>19 99767-8089</t>
  </si>
  <si>
    <t>BIMESTRAL</t>
  </si>
  <si>
    <t>1X/MÊS</t>
  </si>
  <si>
    <t xml:space="preserve">PENDENCIA </t>
  </si>
  <si>
    <t>GILBERTO MOREIRA PIRES</t>
  </si>
  <si>
    <t>ATIBAIA</t>
  </si>
  <si>
    <t>Heloísa De Santo Afonso Marques</t>
  </si>
  <si>
    <t>11 99552-7758</t>
  </si>
  <si>
    <t>ÓBITO</t>
  </si>
  <si>
    <t>ALTA</t>
  </si>
  <si>
    <t>OBITO</t>
  </si>
  <si>
    <t>LETÍCIA PAULA GASPAR SILVEIRA</t>
  </si>
  <si>
    <t>SANTOS</t>
  </si>
  <si>
    <t>Cinthia Damasceno Dos Santos</t>
  </si>
  <si>
    <t>13 98148-0902</t>
  </si>
  <si>
    <t>TROCA</t>
  </si>
  <si>
    <t>Marina Soares Alves das neves</t>
  </si>
  <si>
    <t>JORGE LUIZ GAALVÃO</t>
  </si>
  <si>
    <t>13 99198-9743</t>
  </si>
  <si>
    <t xml:space="preserve">TREMEMBÉ </t>
  </si>
  <si>
    <t>Rita de Cássia de Almeida Toledo</t>
  </si>
  <si>
    <t>11 97413-6650</t>
  </si>
  <si>
    <t>AVALIAÇÃO</t>
  </si>
  <si>
    <t>ERIC BERNARDINI DE ANDRADE</t>
  </si>
  <si>
    <t xml:space="preserve"> NELSON MONTEIRO</t>
  </si>
  <si>
    <t xml:space="preserve">PRAIA GRANDE </t>
  </si>
  <si>
    <t>Carolina Moreno</t>
  </si>
  <si>
    <t>13 99193-8403</t>
  </si>
  <si>
    <t>Guaratingueta</t>
  </si>
  <si>
    <t>Mariana Guimarães de Arruda</t>
  </si>
  <si>
    <t>12 99619-9936</t>
  </si>
  <si>
    <t>OK</t>
  </si>
  <si>
    <t xml:space="preserve"> ELSE LOPES MACHADO DE LIMA</t>
  </si>
  <si>
    <t xml:space="preserve">GUARUJA </t>
  </si>
  <si>
    <t>Audrey Chaves dos Santos</t>
  </si>
  <si>
    <t>13 99721-6757</t>
  </si>
  <si>
    <t>1 ATEND</t>
  </si>
  <si>
    <t>Eliana Bovolon</t>
  </si>
  <si>
    <t>11 99174-7433</t>
  </si>
  <si>
    <t>FP</t>
  </si>
  <si>
    <t>REL</t>
  </si>
  <si>
    <t>ALTA TOTAL</t>
  </si>
  <si>
    <t xml:space="preserve"> MARIO SALLES MARINS</t>
  </si>
  <si>
    <t>MARILIA</t>
  </si>
  <si>
    <t>Beatriz Stigliano Nascimento </t>
  </si>
  <si>
    <t xml:space="preserve"> 14 99634-2610</t>
  </si>
  <si>
    <t>LENA FRANCO DE FARIA RAULE</t>
  </si>
  <si>
    <t>1 atend</t>
  </si>
  <si>
    <t xml:space="preserve">MARIA DE LOURDES DAL ROVERE </t>
  </si>
  <si>
    <t xml:space="preserve"> MARILIA</t>
  </si>
  <si>
    <t>RIO PRETO</t>
  </si>
  <si>
    <t xml:space="preserve"> Beatriz Stigliano Nascimento</t>
  </si>
  <si>
    <t>Caio Henrique Goulart</t>
  </si>
  <si>
    <t>17 99144-1424</t>
  </si>
  <si>
    <t>NOAH ALVES BOZZI</t>
  </si>
  <si>
    <t>GUARUJÁ</t>
  </si>
  <si>
    <t>Viviane Santos Duarte  </t>
  </si>
  <si>
    <t>13 99111-9339</t>
  </si>
  <si>
    <t>ok</t>
  </si>
  <si>
    <t>Audrey Chaves dos Santos </t>
  </si>
  <si>
    <t>MARIO SALLES MARINS</t>
  </si>
  <si>
    <t>Thaina Brandão Pereira Gavioli </t>
  </si>
  <si>
    <t>18 99600-4659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</si>
</sst>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8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color theme="1"/>
      <name val="Calibri"/>
    </font>
    <font>
      <b/>
      <sz val="10.0"/>
      <color theme="1"/>
      <name val="Calibri"/>
    </font>
    <font>
      <color theme="1"/>
      <name val="Arial"/>
    </font>
    <font>
      <b/>
      <color rgb="FF000000"/>
      <name val="Calibri"/>
    </font>
    <font>
      <b/>
      <sz val="11.0"/>
      <color rgb="FF000000"/>
      <name val="Calibri"/>
    </font>
    <font>
      <b/>
      <color rgb="FFFFFFFF"/>
      <name val="Calibri"/>
    </font>
    <font>
      <sz val="11.0"/>
      <color rgb="FF000000"/>
      <name val="Calibri"/>
    </font>
    <font>
      <sz val="9.0"/>
      <color theme="1"/>
      <name val="Arial"/>
    </font>
    <font>
      <color theme="1"/>
      <name val="Arial"/>
      <scheme val="minor"/>
    </font>
    <font>
      <sz val="12.0"/>
      <color rgb="FF242424"/>
      <name val="Calibri"/>
    </font>
    <font>
      <sz val="12.0"/>
      <color theme="1"/>
      <name val="Calibri"/>
    </font>
    <font>
      <sz val="11.0"/>
      <color rgb="FF242424"/>
      <name val="Calibri"/>
    </font>
    <font>
      <sz val="12.0"/>
      <color rgb="FF222222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3" fontId="5" numFmtId="49" xfId="0" applyAlignment="1" applyBorder="1" applyFont="1" applyNumberFormat="1">
      <alignment horizontal="center" readingOrder="0" vertical="bottom"/>
    </xf>
    <xf borderId="1" fillId="4" fontId="3" numFmtId="0" xfId="0" applyAlignment="1" applyBorder="1" applyFill="1" applyFont="1">
      <alignment horizontal="center" vertical="bottom"/>
    </xf>
    <xf borderId="1" fillId="0" fontId="4" numFmtId="49" xfId="0" applyAlignment="1" applyBorder="1" applyFont="1" applyNumberFormat="1">
      <alignment horizontal="center" vertical="bottom"/>
    </xf>
    <xf borderId="1" fillId="0" fontId="4" numFmtId="49" xfId="0" applyAlignment="1" applyBorder="1" applyFont="1" applyNumberFormat="1">
      <alignment horizontal="center" readingOrder="0" vertical="bottom"/>
    </xf>
    <xf borderId="2" fillId="0" fontId="5" numFmtId="49" xfId="0" applyAlignment="1" applyBorder="1" applyFont="1" applyNumberFormat="1">
      <alignment horizontal="center" vertical="bottom"/>
    </xf>
    <xf borderId="2" fillId="0" fontId="6" numFmtId="49" xfId="0" applyAlignment="1" applyBorder="1" applyFont="1" applyNumberFormat="1">
      <alignment horizontal="center" readingOrder="0" vertical="bottom"/>
    </xf>
    <xf borderId="2" fillId="0" fontId="5" numFmtId="49" xfId="0" applyAlignment="1" applyBorder="1" applyFont="1" applyNumberFormat="1">
      <alignment horizontal="center" readingOrder="0" vertical="bottom"/>
    </xf>
    <xf borderId="1" fillId="0" fontId="4" numFmtId="164" xfId="0" applyAlignment="1" applyBorder="1" applyFont="1" applyNumberFormat="1">
      <alignment horizontal="center" readingOrder="0" vertical="bottom"/>
    </xf>
    <xf borderId="1" fillId="5" fontId="4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6" fontId="4" numFmtId="0" xfId="0" applyAlignment="1" applyBorder="1" applyFill="1" applyFont="1">
      <alignment horizontal="center" readingOrder="0" vertical="bottom"/>
    </xf>
    <xf borderId="2" fillId="0" fontId="4" numFmtId="49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vertical="bottom"/>
    </xf>
    <xf borderId="1" fillId="4" fontId="7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6" fontId="8" numFmtId="0" xfId="0" applyAlignment="1" applyBorder="1" applyFont="1">
      <alignment horizontal="center" readingOrder="0" vertical="bottom"/>
    </xf>
    <xf borderId="1" fillId="6" fontId="5" numFmtId="49" xfId="0" applyAlignment="1" applyBorder="1" applyFont="1" applyNumberFormat="1">
      <alignment horizontal="center" vertical="bottom"/>
    </xf>
    <xf borderId="1" fillId="7" fontId="9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0" fillId="0" fontId="7" numFmtId="0" xfId="0" applyAlignment="1" applyFont="1">
      <alignment vertical="bottom"/>
    </xf>
    <xf borderId="1" fillId="4" fontId="10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vertical="bottom"/>
    </xf>
    <xf borderId="1" fillId="7" fontId="4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vertical="bottom"/>
    </xf>
    <xf borderId="1" fillId="5" fontId="11" numFmtId="0" xfId="0" applyAlignment="1" applyBorder="1" applyFon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1" fillId="0" fontId="12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vertical="bottom"/>
    </xf>
    <xf borderId="1" fillId="0" fontId="7" numFmtId="164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1" fillId="7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1" fillId="5" fontId="5" numFmtId="49" xfId="0" applyAlignment="1" applyBorder="1" applyFont="1" applyNumberFormat="1">
      <alignment horizontal="center" readingOrder="0" vertical="bottom"/>
    </xf>
    <xf borderId="1" fillId="0" fontId="13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/>
    </xf>
    <xf borderId="0" fillId="5" fontId="10" numFmtId="0" xfId="0" applyAlignment="1" applyFont="1">
      <alignment horizontal="center" vertical="bottom"/>
    </xf>
    <xf borderId="1" fillId="0" fontId="6" numFmtId="49" xfId="0" applyAlignment="1" applyBorder="1" applyFont="1" applyNumberFormat="1">
      <alignment horizontal="center" readingOrder="0" vertical="bottom"/>
    </xf>
    <xf borderId="3" fillId="4" fontId="3" numFmtId="0" xfId="0" applyAlignment="1" applyBorder="1" applyFont="1">
      <alignment horizontal="center" readingOrder="0" vertical="bottom"/>
    </xf>
    <xf borderId="1" fillId="5" fontId="14" numFmtId="0" xfId="0" applyAlignment="1" applyBorder="1" applyFont="1">
      <alignment horizontal="center" readingOrder="0"/>
    </xf>
    <xf borderId="1" fillId="5" fontId="14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vertical="bottom"/>
    </xf>
    <xf borderId="1" fillId="0" fontId="7" numFmtId="0" xfId="0" applyAlignment="1" applyBorder="1" applyFont="1">
      <alignment readingOrder="0" vertical="bottom"/>
    </xf>
    <xf borderId="1" fillId="5" fontId="8" numFmtId="0" xfId="0" applyAlignment="1" applyBorder="1" applyFont="1">
      <alignment horizontal="center" readingOrder="0" vertical="bottom"/>
    </xf>
    <xf borderId="0" fillId="5" fontId="5" numFmtId="0" xfId="0" applyAlignment="1" applyFont="1">
      <alignment horizontal="center" vertical="bottom"/>
    </xf>
    <xf borderId="0" fillId="3" fontId="5" numFmtId="0" xfId="0" applyAlignment="1" applyFont="1">
      <alignment horizontal="center" readingOrder="0" vertical="bottom"/>
    </xf>
    <xf borderId="1" fillId="5" fontId="12" numFmtId="0" xfId="0" applyAlignment="1" applyBorder="1" applyFont="1">
      <alignment horizontal="center" readingOrder="0" vertical="bottom"/>
    </xf>
    <xf borderId="1" fillId="5" fontId="15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horizontal="center" readingOrder="0" vertical="bottom"/>
    </xf>
    <xf borderId="1" fillId="6" fontId="12" numFmtId="0" xfId="0" applyAlignment="1" applyBorder="1" applyFont="1">
      <alignment horizontal="center" readingOrder="0" vertical="bottom"/>
    </xf>
    <xf borderId="1" fillId="7" fontId="5" numFmtId="4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/>
    </xf>
    <xf borderId="1" fillId="6" fontId="15" numFmtId="0" xfId="0" applyAlignment="1" applyBorder="1" applyFont="1">
      <alignment horizontal="center" readingOrder="0" vertical="bottom"/>
    </xf>
    <xf borderId="1" fillId="6" fontId="7" numFmtId="0" xfId="0" applyAlignment="1" applyBorder="1" applyFont="1">
      <alignment vertical="bottom"/>
    </xf>
    <xf borderId="0" fillId="7" fontId="5" numFmtId="0" xfId="0" applyAlignment="1" applyFont="1">
      <alignment horizontal="center" readingOrder="0" vertical="bottom"/>
    </xf>
    <xf borderId="2" fillId="0" fontId="2" numFmtId="49" xfId="0" applyAlignment="1" applyBorder="1" applyFont="1" applyNumberFormat="1">
      <alignment horizontal="center" readingOrder="0" vertical="bottom"/>
    </xf>
    <xf borderId="1" fillId="0" fontId="7" numFmtId="49" xfId="0" applyAlignment="1" applyBorder="1" applyFont="1" applyNumberFormat="1">
      <alignment horizontal="center" vertical="bottom"/>
    </xf>
    <xf borderId="1" fillId="0" fontId="13" numFmtId="164" xfId="0" applyAlignment="1" applyBorder="1" applyFont="1" applyNumberFormat="1">
      <alignment horizontal="center" readingOrder="0"/>
    </xf>
    <xf borderId="1" fillId="5" fontId="16" numFmtId="0" xfId="0" applyAlignment="1" applyBorder="1" applyFont="1">
      <alignment horizontal="center" readingOrder="0"/>
    </xf>
    <xf borderId="1" fillId="0" fontId="13" numFmtId="0" xfId="0" applyAlignment="1" applyBorder="1" applyFont="1">
      <alignment readingOrder="0"/>
    </xf>
    <xf borderId="1" fillId="0" fontId="13" numFmtId="0" xfId="0" applyBorder="1" applyFont="1"/>
    <xf borderId="1" fillId="0" fontId="11" numFmtId="0" xfId="0" applyAlignment="1" applyBorder="1" applyFont="1">
      <alignment horizontal="center" vertical="bottom"/>
    </xf>
    <xf borderId="4" fillId="7" fontId="5" numFmtId="0" xfId="0" applyAlignment="1" applyBorder="1" applyFont="1">
      <alignment horizontal="center" readingOrder="0" vertical="bottom"/>
    </xf>
    <xf borderId="1" fillId="7" fontId="2" numFmtId="0" xfId="0" applyAlignment="1" applyBorder="1" applyFont="1">
      <alignment horizontal="center" vertical="bottom"/>
    </xf>
    <xf borderId="0" fillId="5" fontId="5" numFmtId="0" xfId="0" applyAlignment="1" applyFont="1">
      <alignment horizontal="center" readingOrder="0" vertical="bottom"/>
    </xf>
    <xf borderId="1" fillId="0" fontId="4" numFmtId="164" xfId="0" applyAlignment="1" applyBorder="1" applyFont="1" applyNumberFormat="1">
      <alignment horizontal="center" vertical="bottom"/>
    </xf>
    <xf borderId="0" fillId="5" fontId="17" numFmtId="0" xfId="0" applyAlignment="1" applyFont="1">
      <alignment horizontal="center" readingOrder="0"/>
    </xf>
    <xf borderId="5" fillId="5" fontId="17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 vertical="bottom"/>
    </xf>
    <xf borderId="1" fillId="7" fontId="13" numFmtId="0" xfId="0" applyBorder="1" applyFont="1"/>
    <xf borderId="1" fillId="5" fontId="2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/>
    </xf>
    <xf borderId="1" fillId="3" fontId="5" numFmtId="49" xfId="0" applyAlignment="1" applyBorder="1" applyFont="1" applyNumberFormat="1">
      <alignment horizontal="center" vertical="bottom"/>
    </xf>
    <xf borderId="1" fillId="0" fontId="4" numFmtId="164" xfId="0" applyAlignment="1" applyBorder="1" applyFont="1" applyNumberFormat="1">
      <alignment horizontal="center" readingOrder="0"/>
    </xf>
    <xf borderId="1" fillId="7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4" fontId="5" numFmtId="49" xfId="0" applyAlignment="1" applyBorder="1" applyFont="1" applyNumberFormat="1">
      <alignment horizontal="center" vertical="bottom"/>
    </xf>
    <xf borderId="1" fillId="0" fontId="2" numFmtId="49" xfId="0" applyAlignment="1" applyBorder="1" applyFont="1" applyNumberFormat="1">
      <alignment horizontal="center" readingOrder="0" vertical="bottom"/>
    </xf>
    <xf borderId="1" fillId="6" fontId="16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/>
    </xf>
    <xf borderId="0" fillId="5" fontId="9" numFmtId="0" xfId="0" applyAlignment="1" applyFont="1">
      <alignment horizontal="center" readingOrder="0" vertical="bottom"/>
    </xf>
    <xf borderId="1" fillId="7" fontId="9" numFmtId="0" xfId="0" applyAlignment="1" applyBorder="1" applyFont="1">
      <alignment horizontal="center" readingOrder="0"/>
    </xf>
    <xf borderId="1" fillId="5" fontId="11" numFmtId="49" xfId="0" applyAlignment="1" applyBorder="1" applyFont="1" applyNumberFormat="1">
      <alignment horizontal="center" vertical="bottom"/>
    </xf>
    <xf borderId="0" fillId="0" fontId="4" numFmtId="0" xfId="0" applyFont="1"/>
    <xf borderId="1" fillId="5" fontId="9" numFmtId="49" xfId="0" applyAlignment="1" applyBorder="1" applyFont="1" applyNumberFormat="1">
      <alignment horizontal="center" readingOrder="0" vertical="bottom"/>
    </xf>
    <xf borderId="1" fillId="5" fontId="11" numFmtId="164" xfId="0" applyAlignment="1" applyBorder="1" applyFont="1" applyNumberFormat="1">
      <alignment horizontal="center" readingOrder="0"/>
    </xf>
    <xf borderId="1" fillId="6" fontId="4" numFmtId="0" xfId="0" applyAlignment="1" applyBorder="1" applyFont="1">
      <alignment horizontal="center" vertical="bottom"/>
    </xf>
    <xf borderId="1" fillId="5" fontId="11" numFmtId="0" xfId="0" applyAlignment="1" applyBorder="1" applyFont="1">
      <alignment horizontal="center"/>
    </xf>
    <xf borderId="1" fillId="5" fontId="9" numFmtId="0" xfId="0" applyAlignment="1" applyBorder="1" applyFont="1">
      <alignment horizontal="center" readingOrder="0"/>
    </xf>
    <xf borderId="0" fillId="5" fontId="2" numFmtId="0" xfId="0" applyAlignment="1" applyFont="1">
      <alignment horizontal="center" readingOrder="0" vertical="bottom"/>
    </xf>
    <xf borderId="1" fillId="3" fontId="3" numFmtId="0" xfId="0" applyAlignment="1" applyBorder="1" applyFont="1">
      <alignment horizontal="center" readingOrder="0"/>
    </xf>
    <xf borderId="1" fillId="6" fontId="4" numFmtId="0" xfId="0" applyAlignment="1" applyBorder="1" applyFont="1">
      <alignment horizontal="center" readingOrder="0"/>
    </xf>
    <xf borderId="1" fillId="6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39.25"/>
    <col customWidth="1" min="3" max="3" width="15.25"/>
    <col customWidth="1" min="4" max="4" width="14.75"/>
    <col customWidth="1" min="7" max="7" width="29.0"/>
    <col customWidth="1" min="8" max="8" width="13.88"/>
    <col customWidth="1" min="10" max="40" width="3.38"/>
    <col customWidth="1" min="41" max="41" width="9.0"/>
  </cols>
  <sheetData>
    <row r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>
        <v>1.0</v>
      </c>
      <c r="K1" s="3">
        <v>2.0</v>
      </c>
      <c r="L1" s="3">
        <v>3.0</v>
      </c>
      <c r="M1" s="3">
        <v>4.0</v>
      </c>
      <c r="N1" s="3">
        <v>5.0</v>
      </c>
      <c r="O1" s="3">
        <v>6.0</v>
      </c>
      <c r="P1" s="3">
        <v>7.0</v>
      </c>
      <c r="Q1" s="3">
        <v>8.0</v>
      </c>
      <c r="R1" s="3">
        <v>9.0</v>
      </c>
      <c r="S1" s="3">
        <v>10.0</v>
      </c>
      <c r="T1" s="3">
        <v>11.0</v>
      </c>
      <c r="U1" s="3">
        <v>12.0</v>
      </c>
      <c r="V1" s="3">
        <v>13.0</v>
      </c>
      <c r="W1" s="3">
        <v>14.0</v>
      </c>
      <c r="X1" s="3">
        <v>15.0</v>
      </c>
      <c r="Y1" s="3">
        <v>16.0</v>
      </c>
      <c r="Z1" s="3">
        <v>17.0</v>
      </c>
      <c r="AA1" s="3">
        <v>18.0</v>
      </c>
      <c r="AB1" s="3">
        <v>19.0</v>
      </c>
      <c r="AC1" s="3">
        <v>20.0</v>
      </c>
      <c r="AD1" s="3">
        <v>21.0</v>
      </c>
      <c r="AE1" s="3">
        <v>22.0</v>
      </c>
      <c r="AF1" s="3">
        <v>23.0</v>
      </c>
      <c r="AG1" s="3">
        <v>24.0</v>
      </c>
      <c r="AH1" s="3">
        <v>25.0</v>
      </c>
      <c r="AI1" s="3">
        <v>26.0</v>
      </c>
      <c r="AJ1" s="3">
        <v>27.0</v>
      </c>
      <c r="AK1" s="3">
        <v>28.0</v>
      </c>
      <c r="AL1" s="3">
        <v>29.0</v>
      </c>
      <c r="AM1" s="3">
        <v>30.0</v>
      </c>
      <c r="AN1" s="3">
        <v>31.0</v>
      </c>
      <c r="AO1" s="3" t="s">
        <v>10</v>
      </c>
    </row>
    <row r="2">
      <c r="A2" s="4" t="s">
        <v>11</v>
      </c>
      <c r="B2" s="7" t="s">
        <v>14</v>
      </c>
      <c r="C2" s="11" t="s">
        <v>16</v>
      </c>
      <c r="D2" s="13" t="s">
        <v>17</v>
      </c>
      <c r="E2" s="15">
        <v>46035.0</v>
      </c>
      <c r="F2" s="7" t="s">
        <v>20</v>
      </c>
      <c r="G2" s="17" t="s">
        <v>22</v>
      </c>
      <c r="H2" s="17" t="s">
        <v>26</v>
      </c>
      <c r="I2" s="19" t="s">
        <v>30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27">
        <v>0.0</v>
      </c>
    </row>
    <row r="3">
      <c r="A3" s="25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</row>
    <row r="4">
      <c r="A4" s="29" t="s">
        <v>36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</row>
    <row r="5">
      <c r="A5" s="32" t="s">
        <v>37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</row>
  </sheetData>
  <dataValidations>
    <dataValidation type="list" allowBlank="1" showErrorMessage="1" sqref="C2">
      <formula1>"ECONOMUS,CABESP,ALICE SAÚDE,VIVEST,PORTO SEGURO"</formula1>
    </dataValidation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9.25"/>
    <col customWidth="1" min="3" max="3" width="15.25"/>
    <col customWidth="1" min="4" max="4" width="14.75"/>
    <col customWidth="1" min="7" max="7" width="29.0"/>
    <col customWidth="1" min="8" max="8" width="13.88"/>
    <col customWidth="1" min="10" max="40" width="3.38"/>
    <col customWidth="1" min="41" max="41" width="9.0"/>
  </cols>
  <sheetData>
    <row r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>
        <v>1.0</v>
      </c>
      <c r="K1" s="3">
        <v>2.0</v>
      </c>
      <c r="L1" s="3">
        <v>3.0</v>
      </c>
      <c r="M1" s="3">
        <v>4.0</v>
      </c>
      <c r="N1" s="3">
        <v>5.0</v>
      </c>
      <c r="O1" s="3">
        <v>6.0</v>
      </c>
      <c r="P1" s="3">
        <v>7.0</v>
      </c>
      <c r="Q1" s="3">
        <v>8.0</v>
      </c>
      <c r="R1" s="3">
        <v>9.0</v>
      </c>
      <c r="S1" s="3">
        <v>10.0</v>
      </c>
      <c r="T1" s="3">
        <v>11.0</v>
      </c>
      <c r="U1" s="3">
        <v>12.0</v>
      </c>
      <c r="V1" s="3">
        <v>13.0</v>
      </c>
      <c r="W1" s="3">
        <v>14.0</v>
      </c>
      <c r="X1" s="3">
        <v>15.0</v>
      </c>
      <c r="Y1" s="3">
        <v>16.0</v>
      </c>
      <c r="Z1" s="3">
        <v>17.0</v>
      </c>
      <c r="AA1" s="3">
        <v>18.0</v>
      </c>
      <c r="AB1" s="3">
        <v>19.0</v>
      </c>
      <c r="AC1" s="3">
        <v>20.0</v>
      </c>
      <c r="AD1" s="3">
        <v>21.0</v>
      </c>
      <c r="AE1" s="3">
        <v>22.0</v>
      </c>
      <c r="AF1" s="3">
        <v>23.0</v>
      </c>
      <c r="AG1" s="3">
        <v>24.0</v>
      </c>
      <c r="AH1" s="3">
        <v>25.0</v>
      </c>
      <c r="AI1" s="3">
        <v>26.0</v>
      </c>
      <c r="AJ1" s="3">
        <v>27.0</v>
      </c>
      <c r="AK1" s="3">
        <v>28.0</v>
      </c>
      <c r="AL1" s="3">
        <v>29.0</v>
      </c>
      <c r="AM1" s="3">
        <v>30.0</v>
      </c>
      <c r="AN1" s="3">
        <v>31.0</v>
      </c>
      <c r="AO1" s="3" t="s">
        <v>10</v>
      </c>
    </row>
    <row r="2">
      <c r="A2" s="4" t="s">
        <v>11</v>
      </c>
      <c r="B2" s="6" t="s">
        <v>13</v>
      </c>
      <c r="C2" s="10" t="s">
        <v>15</v>
      </c>
      <c r="D2" s="12" t="s">
        <v>17</v>
      </c>
      <c r="E2" s="15">
        <v>46067.0</v>
      </c>
      <c r="F2" s="6" t="s">
        <v>18</v>
      </c>
      <c r="G2" s="18" t="s">
        <v>23</v>
      </c>
      <c r="H2" s="18" t="s">
        <v>28</v>
      </c>
      <c r="I2" s="19" t="s">
        <v>30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3">
        <v>0.0</v>
      </c>
    </row>
    <row r="3">
      <c r="A3" s="25" t="s">
        <v>31</v>
      </c>
      <c r="B3" s="6" t="s">
        <v>13</v>
      </c>
      <c r="C3" s="10" t="s">
        <v>15</v>
      </c>
      <c r="D3" s="12" t="s">
        <v>17</v>
      </c>
      <c r="E3" s="15">
        <v>46076.0</v>
      </c>
      <c r="F3" s="6" t="s">
        <v>18</v>
      </c>
      <c r="G3" s="16" t="s">
        <v>24</v>
      </c>
      <c r="H3" s="16" t="s">
        <v>27</v>
      </c>
      <c r="I3" s="19" t="s">
        <v>30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3">
        <v>0.0</v>
      </c>
    </row>
    <row r="4">
      <c r="A4" s="29" t="s">
        <v>36</v>
      </c>
      <c r="B4" s="33" t="s">
        <v>14</v>
      </c>
      <c r="C4" s="11" t="s">
        <v>16</v>
      </c>
      <c r="D4" s="13"/>
      <c r="E4" s="15"/>
      <c r="F4" s="7" t="s">
        <v>20</v>
      </c>
      <c r="G4" s="17" t="s">
        <v>22</v>
      </c>
      <c r="H4" s="17" t="s">
        <v>26</v>
      </c>
      <c r="I4" s="19" t="s">
        <v>30</v>
      </c>
      <c r="J4" s="17"/>
      <c r="K4" s="17"/>
      <c r="L4" s="17"/>
      <c r="M4" s="17"/>
      <c r="N4" s="17"/>
      <c r="O4" s="17"/>
      <c r="P4" s="17"/>
      <c r="Q4" s="17"/>
      <c r="R4" s="17"/>
      <c r="S4" s="36"/>
      <c r="T4" s="30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27">
        <v>0.0</v>
      </c>
    </row>
    <row r="5">
      <c r="A5" s="32" t="s">
        <v>37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</row>
    <row r="6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</row>
  </sheetData>
  <dataValidations>
    <dataValidation type="list" allowBlank="1" showErrorMessage="1" sqref="C2:C3">
      <formula1>"ECONOMUS,CABESP,ALICE SAÚDE,VIVEST,PORTO SEGURO,AMAFRESP,UNIMED"</formula1>
    </dataValidation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C4">
      <formula1>"ECONOMUS,CABESP,ALICE SAÚDE,VIVEST,PORTO SEGURO"</formula1>
    </dataValidation>
    <dataValidation type="list" allowBlank="1" showErrorMessage="1" sqref="D2:D4">
      <formula1>"NOVO PACIENTE,READMISSÃO,TROCA,INTENSIFICAÇÃO,DESMAME,COBERTURA,REVEZAMENTO"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9.25"/>
    <col customWidth="1" min="3" max="3" width="15.25"/>
    <col customWidth="1" min="4" max="4" width="18.88"/>
    <col customWidth="1" min="6" max="6" width="15.5"/>
    <col customWidth="1" min="7" max="7" width="29.0"/>
    <col customWidth="1" min="8" max="8" width="13.88"/>
    <col customWidth="1" min="9" max="9" width="16.5"/>
    <col customWidth="1" min="10" max="40" width="3.38"/>
    <col customWidth="1" min="41" max="41" width="9.0"/>
  </cols>
  <sheetData>
    <row r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>
        <v>1.0</v>
      </c>
      <c r="K1" s="3">
        <v>2.0</v>
      </c>
      <c r="L1" s="3">
        <v>3.0</v>
      </c>
      <c r="M1" s="3">
        <v>4.0</v>
      </c>
      <c r="N1" s="3">
        <v>5.0</v>
      </c>
      <c r="O1" s="3">
        <v>6.0</v>
      </c>
      <c r="P1" s="3">
        <v>7.0</v>
      </c>
      <c r="Q1" s="3">
        <v>8.0</v>
      </c>
      <c r="R1" s="3">
        <v>9.0</v>
      </c>
      <c r="S1" s="3">
        <v>10.0</v>
      </c>
      <c r="T1" s="3">
        <v>11.0</v>
      </c>
      <c r="U1" s="3">
        <v>12.0</v>
      </c>
      <c r="V1" s="3">
        <v>13.0</v>
      </c>
      <c r="W1" s="3">
        <v>14.0</v>
      </c>
      <c r="X1" s="3">
        <v>15.0</v>
      </c>
      <c r="Y1" s="3">
        <v>16.0</v>
      </c>
      <c r="Z1" s="3">
        <v>17.0</v>
      </c>
      <c r="AA1" s="3">
        <v>18.0</v>
      </c>
      <c r="AB1" s="3">
        <v>19.0</v>
      </c>
      <c r="AC1" s="3">
        <v>20.0</v>
      </c>
      <c r="AD1" s="3">
        <v>21.0</v>
      </c>
      <c r="AE1" s="3">
        <v>22.0</v>
      </c>
      <c r="AF1" s="3">
        <v>23.0</v>
      </c>
      <c r="AG1" s="3">
        <v>24.0</v>
      </c>
      <c r="AH1" s="3">
        <v>25.0</v>
      </c>
      <c r="AI1" s="3">
        <v>26.0</v>
      </c>
      <c r="AJ1" s="3">
        <v>27.0</v>
      </c>
      <c r="AK1" s="3">
        <v>28.0</v>
      </c>
      <c r="AL1" s="3">
        <v>29.0</v>
      </c>
      <c r="AM1" s="3">
        <v>30.0</v>
      </c>
      <c r="AN1" s="3">
        <v>31.0</v>
      </c>
      <c r="AO1" s="3" t="s">
        <v>10</v>
      </c>
    </row>
    <row r="2">
      <c r="A2" s="4" t="s">
        <v>11</v>
      </c>
      <c r="B2" s="5" t="s">
        <v>12</v>
      </c>
      <c r="C2" s="11" t="s">
        <v>16</v>
      </c>
      <c r="D2" s="14" t="s">
        <v>17</v>
      </c>
      <c r="E2" s="15">
        <v>46080.0</v>
      </c>
      <c r="F2" s="7" t="s">
        <v>19</v>
      </c>
      <c r="G2" s="16" t="s">
        <v>21</v>
      </c>
      <c r="H2" s="16" t="s">
        <v>25</v>
      </c>
      <c r="I2" s="19" t="s">
        <v>29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7">
        <v>0.0</v>
      </c>
    </row>
    <row r="3">
      <c r="A3" s="25" t="s">
        <v>31</v>
      </c>
      <c r="B3" s="6" t="s">
        <v>13</v>
      </c>
      <c r="C3" s="10" t="s">
        <v>15</v>
      </c>
      <c r="D3" s="12"/>
      <c r="E3" s="15"/>
      <c r="F3" s="6" t="s">
        <v>18</v>
      </c>
      <c r="G3" s="16" t="s">
        <v>24</v>
      </c>
      <c r="H3" s="16" t="s">
        <v>27</v>
      </c>
      <c r="I3" s="19" t="s">
        <v>30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3">
        <v>0.0</v>
      </c>
    </row>
    <row r="4">
      <c r="A4" s="29" t="s">
        <v>36</v>
      </c>
      <c r="B4" s="33" t="s">
        <v>32</v>
      </c>
      <c r="C4" s="11"/>
      <c r="D4" s="13" t="s">
        <v>17</v>
      </c>
      <c r="E4" s="15">
        <v>46093.0</v>
      </c>
      <c r="F4" s="7" t="s">
        <v>33</v>
      </c>
      <c r="G4" s="7" t="s">
        <v>34</v>
      </c>
      <c r="H4" s="7" t="s">
        <v>35</v>
      </c>
      <c r="I4" s="19" t="s">
        <v>30</v>
      </c>
      <c r="J4" s="17"/>
      <c r="K4" s="17"/>
      <c r="L4" s="17"/>
      <c r="M4" s="17"/>
      <c r="N4" s="17"/>
      <c r="O4" s="17"/>
      <c r="P4" s="17"/>
      <c r="Q4" s="17"/>
      <c r="R4" s="17"/>
      <c r="S4" s="30"/>
      <c r="T4" s="30"/>
      <c r="U4" s="30"/>
      <c r="V4" s="30"/>
      <c r="W4" s="30"/>
      <c r="X4" s="30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0"/>
      <c r="AJ4" s="30"/>
      <c r="AK4" s="30"/>
      <c r="AL4" s="30"/>
      <c r="AM4" s="30"/>
      <c r="AN4" s="30"/>
      <c r="AO4" s="27"/>
    </row>
    <row r="5">
      <c r="A5" s="32" t="s">
        <v>37</v>
      </c>
      <c r="B5" s="33" t="s">
        <v>45</v>
      </c>
      <c r="C5" s="11"/>
      <c r="D5" s="13" t="s">
        <v>17</v>
      </c>
      <c r="E5" s="15">
        <v>46105.0</v>
      </c>
      <c r="F5" s="7" t="s">
        <v>47</v>
      </c>
      <c r="G5" s="7" t="s">
        <v>48</v>
      </c>
      <c r="H5" s="7" t="s">
        <v>49</v>
      </c>
      <c r="I5" s="19" t="s">
        <v>50</v>
      </c>
      <c r="J5" s="17"/>
      <c r="K5" s="17"/>
      <c r="L5" s="17"/>
      <c r="M5" s="17"/>
      <c r="N5" s="17"/>
      <c r="O5" s="17"/>
      <c r="P5" s="17"/>
      <c r="Q5" s="17"/>
      <c r="R5" s="17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27"/>
    </row>
    <row r="6">
      <c r="A6" s="44" t="s">
        <v>36</v>
      </c>
      <c r="B6" s="46" t="s">
        <v>14</v>
      </c>
      <c r="C6" s="11" t="s">
        <v>16</v>
      </c>
      <c r="D6" s="13"/>
      <c r="E6" s="15"/>
      <c r="F6" s="7" t="s">
        <v>20</v>
      </c>
      <c r="G6" s="17" t="s">
        <v>22</v>
      </c>
      <c r="H6" s="17" t="s">
        <v>26</v>
      </c>
      <c r="I6" s="19" t="s">
        <v>30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27">
        <v>0.0</v>
      </c>
    </row>
    <row r="7">
      <c r="A7" s="52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</row>
    <row r="8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</row>
    <row r="9"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</row>
  </sheetData>
  <dataValidations>
    <dataValidation type="list" allowBlank="1" showErrorMessage="1" sqref="C2:C3">
      <formula1>"ECONOMUS,CABESP,ALICE SAÚDE,VIVEST,PORTO SEGURO,AMAFRESP,UNIMED"</formula1>
    </dataValidation>
    <dataValidation type="list" allowBlank="1" showErrorMessage="1" sqref="I2:I6">
      <formula1>"1X/SEMANA,2X/SEMANA,3X/SEMANA,4X/SEMANA,5X/SEMANA,6X/SEMANA,1X/DIA ,2X/DIA,3X/DIA,4X/DIA,1X/MÊS,2X/MÊS ,BIMESTRAL,TRIMESTRAL,PONTUAL,AVALIAÇÃO"</formula1>
    </dataValidation>
    <dataValidation type="list" allowBlank="1" showErrorMessage="1" sqref="C4:C6">
      <formula1>"ECONOMUS,CABESP,ALICE SAÚDE,VIVEST,PORTO SEGURO"</formula1>
    </dataValidation>
    <dataValidation type="list" allowBlank="1" showErrorMessage="1" sqref="D2:D6">
      <formula1>"NOVO PACIENTE,READMISSÃO,TROCA,INTENSIFICAÇÃO,DESMAME,COBERTURA,REVEZAMENTO"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9.25"/>
    <col customWidth="1" min="3" max="3" width="15.25"/>
    <col customWidth="1" min="4" max="4" width="18.88"/>
    <col customWidth="1" min="6" max="6" width="15.5"/>
    <col customWidth="1" min="7" max="7" width="29.0"/>
    <col customWidth="1" min="8" max="8" width="13.88"/>
    <col customWidth="1" min="9" max="9" width="16.5"/>
    <col customWidth="1" min="10" max="40" width="3.38"/>
    <col customWidth="1" min="41" max="41" width="9.0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>
        <v>1.0</v>
      </c>
      <c r="K1" s="3">
        <v>2.0</v>
      </c>
      <c r="L1" s="3">
        <v>3.0</v>
      </c>
      <c r="M1" s="3">
        <v>4.0</v>
      </c>
      <c r="N1" s="3">
        <v>5.0</v>
      </c>
      <c r="O1" s="3">
        <v>6.0</v>
      </c>
      <c r="P1" s="3">
        <v>7.0</v>
      </c>
      <c r="Q1" s="3">
        <v>8.0</v>
      </c>
      <c r="R1" s="3">
        <v>9.0</v>
      </c>
      <c r="S1" s="3">
        <v>10.0</v>
      </c>
      <c r="T1" s="3">
        <v>11.0</v>
      </c>
      <c r="U1" s="3">
        <v>12.0</v>
      </c>
      <c r="V1" s="3">
        <v>13.0</v>
      </c>
      <c r="W1" s="3">
        <v>14.0</v>
      </c>
      <c r="X1" s="3">
        <v>15.0</v>
      </c>
      <c r="Y1" s="3">
        <v>16.0</v>
      </c>
      <c r="Z1" s="3">
        <v>17.0</v>
      </c>
      <c r="AA1" s="3">
        <v>18.0</v>
      </c>
      <c r="AB1" s="3">
        <v>19.0</v>
      </c>
      <c r="AC1" s="3">
        <v>20.0</v>
      </c>
      <c r="AD1" s="3">
        <v>21.0</v>
      </c>
      <c r="AE1" s="3">
        <v>22.0</v>
      </c>
      <c r="AF1" s="3">
        <v>23.0</v>
      </c>
      <c r="AG1" s="3">
        <v>24.0</v>
      </c>
      <c r="AH1" s="3">
        <v>25.0</v>
      </c>
      <c r="AI1" s="3">
        <v>26.0</v>
      </c>
      <c r="AJ1" s="3">
        <v>27.0</v>
      </c>
      <c r="AK1" s="3">
        <v>28.0</v>
      </c>
      <c r="AL1" s="3">
        <v>29.0</v>
      </c>
      <c r="AM1" s="3">
        <v>30.0</v>
      </c>
      <c r="AN1" s="3">
        <v>31.0</v>
      </c>
      <c r="AO1" s="3" t="s">
        <v>10</v>
      </c>
    </row>
    <row r="2">
      <c r="A2" s="8" t="s">
        <v>11</v>
      </c>
      <c r="B2" s="9" t="s">
        <v>13</v>
      </c>
      <c r="C2" s="10" t="s">
        <v>15</v>
      </c>
      <c r="D2" s="12"/>
      <c r="E2" s="15"/>
      <c r="F2" s="6" t="s">
        <v>18</v>
      </c>
      <c r="G2" s="16" t="s">
        <v>24</v>
      </c>
      <c r="H2" s="16" t="s">
        <v>27</v>
      </c>
      <c r="I2" s="19" t="s">
        <v>30</v>
      </c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3">
        <v>0.0</v>
      </c>
    </row>
    <row r="3">
      <c r="A3" s="24" t="s">
        <v>31</v>
      </c>
      <c r="B3" s="26" t="s">
        <v>32</v>
      </c>
      <c r="C3" s="11"/>
      <c r="D3" s="13"/>
      <c r="E3" s="15"/>
      <c r="F3" s="7" t="s">
        <v>33</v>
      </c>
      <c r="G3" s="7" t="s">
        <v>34</v>
      </c>
      <c r="H3" s="7" t="s">
        <v>35</v>
      </c>
      <c r="I3" s="19" t="s">
        <v>30</v>
      </c>
      <c r="J3" s="17"/>
      <c r="K3" s="17"/>
      <c r="L3" s="17"/>
      <c r="M3" s="17"/>
      <c r="N3" s="17"/>
      <c r="O3" s="17"/>
      <c r="P3" s="17"/>
      <c r="Q3" s="17"/>
      <c r="R3" s="17"/>
      <c r="S3" s="30"/>
      <c r="T3" s="30"/>
      <c r="U3" s="30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27"/>
    </row>
    <row r="4">
      <c r="A4" s="34" t="s">
        <v>38</v>
      </c>
      <c r="B4" s="35" t="s">
        <v>39</v>
      </c>
      <c r="C4" s="11"/>
      <c r="D4" s="13" t="s">
        <v>17</v>
      </c>
      <c r="E4" s="37">
        <v>46126.0</v>
      </c>
      <c r="F4" s="35" t="s">
        <v>40</v>
      </c>
      <c r="G4" s="38" t="s">
        <v>41</v>
      </c>
      <c r="H4" s="38" t="s">
        <v>42</v>
      </c>
      <c r="I4" s="19" t="s">
        <v>30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</row>
    <row r="5">
      <c r="A5" s="39" t="s">
        <v>37</v>
      </c>
      <c r="B5" s="35" t="s">
        <v>39</v>
      </c>
      <c r="C5" s="11"/>
      <c r="D5" s="13" t="s">
        <v>43</v>
      </c>
      <c r="E5" s="37">
        <v>46128.0</v>
      </c>
      <c r="F5" s="35" t="s">
        <v>40</v>
      </c>
      <c r="G5" s="38" t="s">
        <v>44</v>
      </c>
      <c r="H5" s="38" t="s">
        <v>46</v>
      </c>
      <c r="I5" s="19" t="s">
        <v>30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>
      <c r="A6" s="41"/>
      <c r="B6" s="38" t="s">
        <v>52</v>
      </c>
      <c r="C6" s="11"/>
      <c r="D6" s="13" t="s">
        <v>17</v>
      </c>
      <c r="E6" s="37">
        <v>46134.0</v>
      </c>
      <c r="F6" s="35" t="s">
        <v>53</v>
      </c>
      <c r="G6" s="38" t="s">
        <v>54</v>
      </c>
      <c r="H6" s="38" t="s">
        <v>55</v>
      </c>
      <c r="I6" s="19" t="s">
        <v>50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>
      <c r="A7" s="51"/>
    </row>
  </sheetData>
  <dataValidations>
    <dataValidation type="list" allowBlank="1" showErrorMessage="1" sqref="C2">
      <formula1>"ECONOMUS,CABESP,ALICE SAÚDE,VIVEST,PORTO SEGURO,AMAFRESP,UNIMED"</formula1>
    </dataValidation>
    <dataValidation type="list" allowBlank="1" showErrorMessage="1" sqref="I2:I6">
      <formula1>"1X/SEMANA,2X/SEMANA,3X/SEMANA,4X/SEMANA,5X/SEMANA,6X/SEMANA,1X/DIA ,2X/DIA,3X/DIA,4X/DIA,1X/MÊS,2X/MÊS ,BIMESTRAL,TRIMESTRAL,PONTUAL,AVALIAÇÃO"</formula1>
    </dataValidation>
    <dataValidation type="list" allowBlank="1" showErrorMessage="1" sqref="C3:C6">
      <formula1>"ECONOMUS,CABESP,ALICE SAÚDE,VIVEST,PORTO SEGURO"</formula1>
    </dataValidation>
    <dataValidation type="list" allowBlank="1" showErrorMessage="1" sqref="D2:D6">
      <formula1>"NOVO PACIENTE,READMISSÃO,TROCA,INTENSIFICAÇÃO,DESMAME,COBERTURA,REVEZAMENTO"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9.25"/>
    <col customWidth="1" min="3" max="3" width="15.25"/>
    <col customWidth="1" min="4" max="4" width="18.88"/>
    <col customWidth="1" min="6" max="6" width="15.5"/>
    <col customWidth="1" min="7" max="7" width="29.0"/>
    <col customWidth="1" min="8" max="8" width="13.88"/>
    <col customWidth="1" min="9" max="9" width="16.5"/>
    <col customWidth="1" min="10" max="40" width="3.38"/>
    <col customWidth="1" min="41" max="41" width="9.0"/>
  </cols>
  <sheetData>
    <row r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>
        <v>1.0</v>
      </c>
      <c r="K1" s="3">
        <v>2.0</v>
      </c>
      <c r="L1" s="3">
        <v>3.0</v>
      </c>
      <c r="M1" s="3">
        <v>4.0</v>
      </c>
      <c r="N1" s="3">
        <v>5.0</v>
      </c>
      <c r="O1" s="3">
        <v>6.0</v>
      </c>
      <c r="P1" s="3">
        <v>7.0</v>
      </c>
      <c r="Q1" s="3">
        <v>8.0</v>
      </c>
      <c r="R1" s="3">
        <v>9.0</v>
      </c>
      <c r="S1" s="3">
        <v>10.0</v>
      </c>
      <c r="T1" s="3">
        <v>11.0</v>
      </c>
      <c r="U1" s="3">
        <v>12.0</v>
      </c>
      <c r="V1" s="3">
        <v>13.0</v>
      </c>
      <c r="W1" s="3">
        <v>14.0</v>
      </c>
      <c r="X1" s="3">
        <v>15.0</v>
      </c>
      <c r="Y1" s="3">
        <v>16.0</v>
      </c>
      <c r="Z1" s="3">
        <v>17.0</v>
      </c>
      <c r="AA1" s="3">
        <v>18.0</v>
      </c>
      <c r="AB1" s="3">
        <v>19.0</v>
      </c>
      <c r="AC1" s="3">
        <v>20.0</v>
      </c>
      <c r="AD1" s="3">
        <v>21.0</v>
      </c>
      <c r="AE1" s="3">
        <v>22.0</v>
      </c>
      <c r="AF1" s="3">
        <v>23.0</v>
      </c>
      <c r="AG1" s="3">
        <v>24.0</v>
      </c>
      <c r="AH1" s="3">
        <v>25.0</v>
      </c>
      <c r="AI1" s="3">
        <v>26.0</v>
      </c>
      <c r="AJ1" s="3">
        <v>27.0</v>
      </c>
      <c r="AK1" s="3">
        <v>28.0</v>
      </c>
      <c r="AL1" s="3">
        <v>29.0</v>
      </c>
      <c r="AM1" s="3">
        <v>30.0</v>
      </c>
      <c r="AN1" s="3">
        <v>31.0</v>
      </c>
      <c r="AO1" s="3" t="s">
        <v>10</v>
      </c>
    </row>
    <row r="2">
      <c r="A2" s="40" t="s">
        <v>11</v>
      </c>
      <c r="B2" s="42" t="s">
        <v>51</v>
      </c>
      <c r="C2" s="43"/>
      <c r="D2" s="45"/>
      <c r="E2" s="43"/>
      <c r="F2" s="42" t="s">
        <v>56</v>
      </c>
      <c r="G2" s="47" t="s">
        <v>57</v>
      </c>
      <c r="H2" s="48" t="s">
        <v>58</v>
      </c>
      <c r="I2" s="11" t="s">
        <v>50</v>
      </c>
      <c r="J2" s="50" t="s">
        <v>59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50">
        <v>1.0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>
        <f t="shared" ref="AO2:AO7" si="1">SUM(J2:AN2)</f>
        <v>1</v>
      </c>
    </row>
    <row r="3" ht="18.75" customHeight="1">
      <c r="A3" s="24" t="s">
        <v>31</v>
      </c>
      <c r="B3" s="42" t="s">
        <v>51</v>
      </c>
      <c r="C3" s="11"/>
      <c r="D3" s="13"/>
      <c r="E3" s="37"/>
      <c r="F3" s="42" t="s">
        <v>56</v>
      </c>
      <c r="G3" s="47" t="s">
        <v>57</v>
      </c>
      <c r="H3" s="48" t="s">
        <v>58</v>
      </c>
      <c r="I3" s="19" t="s">
        <v>30</v>
      </c>
      <c r="J3" s="50" t="s">
        <v>59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>
        <f t="shared" si="1"/>
        <v>0</v>
      </c>
    </row>
    <row r="4">
      <c r="A4" s="34" t="s">
        <v>38</v>
      </c>
      <c r="B4" s="57" t="s">
        <v>39</v>
      </c>
      <c r="C4" s="11"/>
      <c r="D4" s="13"/>
      <c r="E4" s="37"/>
      <c r="F4" s="35" t="s">
        <v>40</v>
      </c>
      <c r="G4" s="60" t="s">
        <v>44</v>
      </c>
      <c r="H4" s="56" t="s">
        <v>46</v>
      </c>
      <c r="I4" s="19" t="s">
        <v>30</v>
      </c>
      <c r="J4" s="50" t="s">
        <v>59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>
        <f t="shared" si="1"/>
        <v>0</v>
      </c>
    </row>
    <row r="5">
      <c r="A5" s="70" t="s">
        <v>37</v>
      </c>
      <c r="B5" s="71" t="s">
        <v>74</v>
      </c>
      <c r="C5" s="64"/>
      <c r="D5" s="12" t="s">
        <v>17</v>
      </c>
      <c r="E5" s="73">
        <v>46160.0</v>
      </c>
      <c r="F5" s="6" t="s">
        <v>78</v>
      </c>
      <c r="G5" s="74" t="s">
        <v>80</v>
      </c>
      <c r="H5" s="75" t="s">
        <v>81</v>
      </c>
      <c r="I5" s="19" t="s">
        <v>30</v>
      </c>
      <c r="J5" s="67" t="s">
        <v>59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20">
        <f t="shared" si="1"/>
        <v>0</v>
      </c>
    </row>
    <row r="6">
      <c r="A6" s="72"/>
      <c r="B6" s="42" t="s">
        <v>70</v>
      </c>
      <c r="C6" s="64"/>
      <c r="D6" s="45" t="s">
        <v>17</v>
      </c>
      <c r="E6" s="65">
        <v>46168.0</v>
      </c>
      <c r="F6" s="42" t="s">
        <v>71</v>
      </c>
      <c r="G6" s="47" t="s">
        <v>72</v>
      </c>
      <c r="H6" s="48" t="s">
        <v>73</v>
      </c>
      <c r="I6" s="11" t="s">
        <v>30</v>
      </c>
      <c r="J6" s="67" t="s">
        <v>59</v>
      </c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20">
        <f t="shared" si="1"/>
        <v>0</v>
      </c>
    </row>
    <row r="7">
      <c r="A7" s="72"/>
      <c r="B7" s="42" t="s">
        <v>76</v>
      </c>
      <c r="C7" s="64"/>
      <c r="D7" s="45" t="s">
        <v>17</v>
      </c>
      <c r="E7" s="65">
        <v>46168.0</v>
      </c>
      <c r="F7" s="42" t="s">
        <v>77</v>
      </c>
      <c r="G7" s="42" t="s">
        <v>79</v>
      </c>
      <c r="H7" s="48" t="s">
        <v>73</v>
      </c>
      <c r="I7" s="11" t="s">
        <v>30</v>
      </c>
      <c r="J7" s="67" t="s">
        <v>59</v>
      </c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7">
        <v>1.0</v>
      </c>
      <c r="AL7" s="68"/>
      <c r="AM7" s="68"/>
      <c r="AN7" s="68"/>
      <c r="AO7" s="20">
        <f t="shared" si="1"/>
        <v>1</v>
      </c>
    </row>
  </sheetData>
  <dataValidations>
    <dataValidation type="list" allowBlank="1" showErrorMessage="1" sqref="I2:I7">
      <formula1>"1X/SEMANA,2X/SEMANA,3X/SEMANA,4X/SEMANA,5X/SEMANA,6X/SEMANA,1X/DIA ,2X/DIA,3X/DIA,4X/DIA,1X/MÊS,2X/MÊS ,BIMESTRAL,TRIMESTRAL,PONTUAL,AVALIAÇÃO"</formula1>
    </dataValidation>
    <dataValidation type="list" allowBlank="1" showErrorMessage="1" sqref="C3:C4">
      <formula1>"ECONOMUS,CABESP,ALICE SAÚDE,VIVEST,PORTO SEGURO"</formula1>
    </dataValidation>
    <dataValidation type="list" allowBlank="1" showErrorMessage="1" sqref="C5:C7">
      <formula1>"ECONOMUS,CABESP,ALICE SAÚDE,VIVEST,PORTO SEGURO,AMAFRESP,UNIMED,AFRESP"</formula1>
    </dataValidation>
    <dataValidation type="list" allowBlank="1" showErrorMessage="1" sqref="D2:D7">
      <formula1>"NOVO PACIENTE,READMISSÃO,TROCA,INTENSIFICAÇÃO,DESMAME,COBERTURA,REVEZAMENTO"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9.25"/>
    <col customWidth="1" min="3" max="3" width="15.25"/>
    <col customWidth="1" min="4" max="4" width="18.88"/>
    <col customWidth="1" min="6" max="6" width="15.5"/>
    <col customWidth="1" min="7" max="7" width="29.0"/>
    <col customWidth="1" min="8" max="8" width="13.88"/>
    <col customWidth="1" min="9" max="9" width="16.5"/>
    <col customWidth="1" min="10" max="40" width="3.38"/>
    <col customWidth="1" min="41" max="41" width="9.0"/>
  </cols>
  <sheetData>
    <row r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>
        <v>1.0</v>
      </c>
      <c r="K1" s="3">
        <v>2.0</v>
      </c>
      <c r="L1" s="3">
        <v>3.0</v>
      </c>
      <c r="M1" s="3">
        <v>4.0</v>
      </c>
      <c r="N1" s="3">
        <v>5.0</v>
      </c>
      <c r="O1" s="3">
        <v>6.0</v>
      </c>
      <c r="P1" s="3">
        <v>7.0</v>
      </c>
      <c r="Q1" s="3">
        <v>8.0</v>
      </c>
      <c r="R1" s="3">
        <v>9.0</v>
      </c>
      <c r="S1" s="3">
        <v>10.0</v>
      </c>
      <c r="T1" s="3">
        <v>11.0</v>
      </c>
      <c r="U1" s="3">
        <v>12.0</v>
      </c>
      <c r="V1" s="3">
        <v>13.0</v>
      </c>
      <c r="W1" s="3">
        <v>14.0</v>
      </c>
      <c r="X1" s="3">
        <v>15.0</v>
      </c>
      <c r="Y1" s="3">
        <v>16.0</v>
      </c>
      <c r="Z1" s="3">
        <v>17.0</v>
      </c>
      <c r="AA1" s="3">
        <v>18.0</v>
      </c>
      <c r="AB1" s="3">
        <v>19.0</v>
      </c>
      <c r="AC1" s="3">
        <v>20.0</v>
      </c>
      <c r="AD1" s="3">
        <v>21.0</v>
      </c>
      <c r="AE1" s="3">
        <v>22.0</v>
      </c>
      <c r="AF1" s="3">
        <v>23.0</v>
      </c>
      <c r="AG1" s="3">
        <v>24.0</v>
      </c>
      <c r="AH1" s="3">
        <v>25.0</v>
      </c>
      <c r="AI1" s="3">
        <v>26.0</v>
      </c>
      <c r="AJ1" s="3">
        <v>27.0</v>
      </c>
      <c r="AK1" s="3">
        <v>28.0</v>
      </c>
      <c r="AL1" s="3">
        <v>29.0</v>
      </c>
      <c r="AM1" s="3">
        <v>30.0</v>
      </c>
      <c r="AN1" s="3">
        <v>31.0</v>
      </c>
      <c r="AO1" s="3" t="s">
        <v>10</v>
      </c>
    </row>
    <row r="2" ht="18.75" customHeight="1">
      <c r="A2" s="24" t="s">
        <v>31</v>
      </c>
      <c r="B2" s="42" t="s">
        <v>60</v>
      </c>
      <c r="C2" s="11"/>
      <c r="D2" s="13" t="s">
        <v>17</v>
      </c>
      <c r="E2" s="37">
        <v>46185.0</v>
      </c>
      <c r="F2" s="42" t="s">
        <v>61</v>
      </c>
      <c r="G2" s="47" t="s">
        <v>62</v>
      </c>
      <c r="H2" s="48" t="s">
        <v>63</v>
      </c>
      <c r="I2" s="19" t="s">
        <v>30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50" t="s">
        <v>64</v>
      </c>
    </row>
    <row r="3" ht="18.75" customHeight="1">
      <c r="A3" s="53" t="s">
        <v>11</v>
      </c>
      <c r="B3" s="42" t="s">
        <v>51</v>
      </c>
      <c r="C3" s="11"/>
      <c r="D3" s="13"/>
      <c r="E3" s="37"/>
      <c r="F3" s="42" t="s">
        <v>56</v>
      </c>
      <c r="G3" s="47" t="s">
        <v>57</v>
      </c>
      <c r="H3" s="48" t="s">
        <v>58</v>
      </c>
      <c r="I3" s="19" t="s">
        <v>30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50" t="s">
        <v>64</v>
      </c>
    </row>
    <row r="4">
      <c r="A4" s="34" t="s">
        <v>38</v>
      </c>
      <c r="B4" s="54" t="s">
        <v>39</v>
      </c>
      <c r="C4" s="11"/>
      <c r="D4" s="13" t="s">
        <v>43</v>
      </c>
      <c r="E4" s="37">
        <v>46175.0</v>
      </c>
      <c r="F4" s="35" t="s">
        <v>40</v>
      </c>
      <c r="G4" s="55" t="s">
        <v>65</v>
      </c>
      <c r="H4" s="56" t="s">
        <v>66</v>
      </c>
      <c r="I4" s="19" t="s">
        <v>30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61">
        <f>SUM(J4:AN4)</f>
        <v>0</v>
      </c>
    </row>
    <row r="5">
      <c r="A5" s="62" t="s">
        <v>69</v>
      </c>
      <c r="B5" s="42" t="s">
        <v>70</v>
      </c>
      <c r="C5" s="64"/>
      <c r="D5" s="45"/>
      <c r="E5" s="65"/>
      <c r="F5" s="42" t="s">
        <v>71</v>
      </c>
      <c r="G5" s="47" t="s">
        <v>72</v>
      </c>
      <c r="H5" s="48" t="s">
        <v>73</v>
      </c>
      <c r="I5" s="11" t="s">
        <v>30</v>
      </c>
      <c r="J5" s="67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50" t="s">
        <v>75</v>
      </c>
    </row>
    <row r="6">
      <c r="A6" s="72"/>
      <c r="B6" s="42" t="s">
        <v>76</v>
      </c>
      <c r="C6" s="64"/>
      <c r="D6" s="45"/>
      <c r="E6" s="65"/>
      <c r="F6" s="42" t="s">
        <v>77</v>
      </c>
      <c r="G6" s="42" t="s">
        <v>79</v>
      </c>
      <c r="H6" s="48" t="s">
        <v>73</v>
      </c>
      <c r="I6" s="11" t="s">
        <v>30</v>
      </c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1">
        <f>SUM(J6:AN6)</f>
        <v>0</v>
      </c>
    </row>
    <row r="7">
      <c r="A7" s="79"/>
      <c r="B7" s="59" t="s">
        <v>82</v>
      </c>
      <c r="C7" s="64"/>
      <c r="D7" s="45" t="s">
        <v>17</v>
      </c>
      <c r="E7" s="81">
        <v>46199.0</v>
      </c>
      <c r="F7" s="59" t="s">
        <v>83</v>
      </c>
      <c r="G7" s="17" t="s">
        <v>84</v>
      </c>
      <c r="H7" s="17" t="s">
        <v>85</v>
      </c>
      <c r="I7" s="11" t="s">
        <v>30</v>
      </c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</row>
  </sheetData>
  <dataValidations>
    <dataValidation type="list" allowBlank="1" showErrorMessage="1" sqref="C2:C4">
      <formula1>"ECONOMUS,CABESP,ALICE SAÚDE,VIVEST,PORTO SEGURO"</formula1>
    </dataValidation>
    <dataValidation type="list" allowBlank="1" showErrorMessage="1" sqref="I2:I7">
      <formula1>"1X/SEMANA,2X/SEMANA,3X/SEMANA,4X/SEMANA,5X/SEMANA,6X/SEMANA,1X/DIA ,2X/DIA,3X/DIA,4X/DIA,1X/MÊS,2X/MÊS ,BIMESTRAL,TRIMESTRAL,PONTUAL,AVALIAÇÃO"</formula1>
    </dataValidation>
    <dataValidation type="list" allowBlank="1" showErrorMessage="1" sqref="C5:C7">
      <formula1>"ECONOMUS,CABESP,ALICE SAÚDE,VIVEST,PORTO SEGURO,AMAFRESP,UNIMED,AFRESP"</formula1>
    </dataValidation>
    <dataValidation type="list" allowBlank="1" showErrorMessage="1" sqref="D2:D7">
      <formula1>"NOVO PACIENTE,READMISSÃO,TROCA,INTENSIFICAÇÃO,DESMAME,COBERTURA,REVEZAMENTO"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4.38"/>
    <col customWidth="1" min="2" max="2" width="44.5"/>
    <col customWidth="1" min="3" max="3" width="15.25"/>
    <col customWidth="1" min="4" max="4" width="18.88"/>
    <col customWidth="1" min="6" max="6" width="15.5"/>
    <col customWidth="1" min="7" max="7" width="29.0"/>
    <col customWidth="1" min="8" max="8" width="13.88"/>
    <col customWidth="1" min="9" max="9" width="16.5"/>
    <col customWidth="1" min="10" max="40" width="4.63"/>
    <col customWidth="1" min="41" max="43" width="9.0"/>
  </cols>
  <sheetData>
    <row r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>
        <v>1.0</v>
      </c>
      <c r="K1" s="3">
        <v>2.0</v>
      </c>
      <c r="L1" s="3">
        <v>3.0</v>
      </c>
      <c r="M1" s="3">
        <v>4.0</v>
      </c>
      <c r="N1" s="3">
        <v>5.0</v>
      </c>
      <c r="O1" s="3">
        <v>6.0</v>
      </c>
      <c r="P1" s="3">
        <v>7.0</v>
      </c>
      <c r="Q1" s="3">
        <v>8.0</v>
      </c>
      <c r="R1" s="3">
        <v>9.0</v>
      </c>
      <c r="S1" s="3">
        <v>10.0</v>
      </c>
      <c r="T1" s="3">
        <v>11.0</v>
      </c>
      <c r="U1" s="3">
        <v>12.0</v>
      </c>
      <c r="V1" s="3">
        <v>13.0</v>
      </c>
      <c r="W1" s="3">
        <v>14.0</v>
      </c>
      <c r="X1" s="3">
        <v>15.0</v>
      </c>
      <c r="Y1" s="3">
        <v>16.0</v>
      </c>
      <c r="Z1" s="3">
        <v>17.0</v>
      </c>
      <c r="AA1" s="3">
        <v>18.0</v>
      </c>
      <c r="AB1" s="3">
        <v>19.0</v>
      </c>
      <c r="AC1" s="3">
        <v>20.0</v>
      </c>
      <c r="AD1" s="3">
        <v>21.0</v>
      </c>
      <c r="AE1" s="3">
        <v>22.0</v>
      </c>
      <c r="AF1" s="3">
        <v>23.0</v>
      </c>
      <c r="AG1" s="3">
        <v>24.0</v>
      </c>
      <c r="AH1" s="3">
        <v>25.0</v>
      </c>
      <c r="AI1" s="3">
        <v>26.0</v>
      </c>
      <c r="AJ1" s="3">
        <v>27.0</v>
      </c>
      <c r="AK1" s="3">
        <v>28.0</v>
      </c>
      <c r="AL1" s="3">
        <v>29.0</v>
      </c>
      <c r="AM1" s="3">
        <v>30.0</v>
      </c>
      <c r="AN1" s="3">
        <v>31.0</v>
      </c>
      <c r="AO1" s="3" t="s">
        <v>10</v>
      </c>
      <c r="AP1" s="2" t="s">
        <v>67</v>
      </c>
      <c r="AQ1" s="2" t="s">
        <v>68</v>
      </c>
    </row>
    <row r="2" ht="18.75" customHeight="1">
      <c r="A2" s="58" t="s">
        <v>37</v>
      </c>
      <c r="B2" s="59" t="s">
        <v>60</v>
      </c>
      <c r="C2" s="11"/>
      <c r="D2" s="63"/>
      <c r="E2" s="15"/>
      <c r="F2" s="59" t="s">
        <v>61</v>
      </c>
      <c r="G2" s="66" t="s">
        <v>62</v>
      </c>
      <c r="H2" s="66" t="s">
        <v>63</v>
      </c>
      <c r="I2" s="19" t="s">
        <v>30</v>
      </c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76"/>
      <c r="AG2" s="76"/>
      <c r="AH2" s="76"/>
      <c r="AI2" s="76"/>
      <c r="AJ2" s="76">
        <v>1.0</v>
      </c>
      <c r="AK2" s="76"/>
      <c r="AL2" s="76"/>
      <c r="AM2" s="76"/>
      <c r="AN2" s="69"/>
      <c r="AO2" s="78">
        <f t="shared" ref="AO2:AO9" si="1">SUM(J2:AN2)</f>
        <v>1</v>
      </c>
      <c r="AP2" s="78" t="s">
        <v>59</v>
      </c>
      <c r="AQ2" s="78" t="s">
        <v>59</v>
      </c>
    </row>
    <row r="3" ht="18.75" customHeight="1">
      <c r="A3" s="80" t="s">
        <v>11</v>
      </c>
      <c r="B3" s="82" t="s">
        <v>51</v>
      </c>
      <c r="C3" s="11"/>
      <c r="D3" s="63"/>
      <c r="E3" s="15"/>
      <c r="F3" s="59" t="s">
        <v>56</v>
      </c>
      <c r="G3" s="66" t="s">
        <v>57</v>
      </c>
      <c r="H3" s="66" t="s">
        <v>58</v>
      </c>
      <c r="I3" s="19" t="s">
        <v>30</v>
      </c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76">
        <v>1.0</v>
      </c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82"/>
      <c r="AO3" s="78">
        <f t="shared" si="1"/>
        <v>1</v>
      </c>
      <c r="AP3" s="78" t="s">
        <v>86</v>
      </c>
      <c r="AQ3" s="78" t="s">
        <v>86</v>
      </c>
    </row>
    <row r="4">
      <c r="A4" s="84" t="s">
        <v>36</v>
      </c>
      <c r="B4" s="16" t="s">
        <v>39</v>
      </c>
      <c r="C4" s="11"/>
      <c r="D4" s="63"/>
      <c r="E4" s="15"/>
      <c r="F4" s="7" t="s">
        <v>40</v>
      </c>
      <c r="G4" s="16" t="s">
        <v>65</v>
      </c>
      <c r="H4" s="7" t="s">
        <v>66</v>
      </c>
      <c r="I4" s="19" t="s">
        <v>30</v>
      </c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76">
        <v>1.0</v>
      </c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8">
        <f t="shared" si="1"/>
        <v>1</v>
      </c>
      <c r="AP4" s="78" t="s">
        <v>59</v>
      </c>
      <c r="AQ4" s="78" t="s">
        <v>59</v>
      </c>
    </row>
    <row r="5">
      <c r="A5" s="25" t="s">
        <v>31</v>
      </c>
      <c r="B5" s="82" t="s">
        <v>70</v>
      </c>
      <c r="C5" s="10"/>
      <c r="D5" s="85"/>
      <c r="E5" s="81"/>
      <c r="F5" s="59" t="s">
        <v>71</v>
      </c>
      <c r="G5" s="86" t="s">
        <v>72</v>
      </c>
      <c r="H5" s="86" t="s">
        <v>73</v>
      </c>
      <c r="I5" s="11" t="s">
        <v>30</v>
      </c>
      <c r="J5" s="87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78">
        <f t="shared" si="1"/>
        <v>0</v>
      </c>
      <c r="AP5" s="78">
        <v>0.0</v>
      </c>
      <c r="AQ5" s="78">
        <v>0.0</v>
      </c>
    </row>
    <row r="6">
      <c r="A6" s="89"/>
      <c r="B6" s="90" t="s">
        <v>88</v>
      </c>
      <c r="C6" s="91"/>
      <c r="D6" s="93" t="s">
        <v>43</v>
      </c>
      <c r="E6" s="94">
        <v>46218.0</v>
      </c>
      <c r="F6" s="59" t="s">
        <v>71</v>
      </c>
      <c r="G6" s="95" t="s">
        <v>89</v>
      </c>
      <c r="H6" s="95" t="s">
        <v>90</v>
      </c>
      <c r="I6" s="11" t="s">
        <v>30</v>
      </c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7"/>
      <c r="X6" s="97"/>
      <c r="Y6" s="97"/>
      <c r="Z6" s="97"/>
      <c r="AA6" s="97"/>
      <c r="AB6" s="97"/>
      <c r="AC6" s="97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78">
        <f t="shared" si="1"/>
        <v>0</v>
      </c>
      <c r="AP6" s="78">
        <v>0.0</v>
      </c>
      <c r="AQ6" s="78">
        <v>0.0</v>
      </c>
    </row>
    <row r="7">
      <c r="A7" s="98"/>
      <c r="B7" s="99" t="s">
        <v>76</v>
      </c>
      <c r="C7" s="10"/>
      <c r="D7" s="85"/>
      <c r="E7" s="81"/>
      <c r="F7" s="59" t="s">
        <v>77</v>
      </c>
      <c r="G7" s="100" t="s">
        <v>79</v>
      </c>
      <c r="H7" s="86" t="s">
        <v>73</v>
      </c>
      <c r="I7" s="11" t="s">
        <v>30</v>
      </c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78">
        <f t="shared" si="1"/>
        <v>0</v>
      </c>
      <c r="AP7" s="78">
        <v>0.0</v>
      </c>
      <c r="AQ7" s="78">
        <v>0.0</v>
      </c>
    </row>
    <row r="8">
      <c r="A8" s="79"/>
      <c r="B8" s="59" t="s">
        <v>82</v>
      </c>
      <c r="C8" s="10"/>
      <c r="D8" s="85"/>
      <c r="E8" s="81"/>
      <c r="F8" s="59" t="s">
        <v>83</v>
      </c>
      <c r="G8" s="101" t="s">
        <v>84</v>
      </c>
      <c r="H8" s="101" t="s">
        <v>85</v>
      </c>
      <c r="I8" s="11" t="s">
        <v>30</v>
      </c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78">
        <f t="shared" si="1"/>
        <v>0</v>
      </c>
      <c r="AP8" s="78">
        <v>0.0</v>
      </c>
      <c r="AQ8" s="78">
        <v>0.0</v>
      </c>
    </row>
    <row r="9">
      <c r="A9" s="79"/>
      <c r="B9" s="59" t="s">
        <v>82</v>
      </c>
      <c r="C9" s="10"/>
      <c r="D9" s="85" t="s">
        <v>43</v>
      </c>
      <c r="E9" s="81">
        <v>46232.0</v>
      </c>
      <c r="F9" s="59" t="s">
        <v>83</v>
      </c>
      <c r="G9" s="17" t="s">
        <v>87</v>
      </c>
      <c r="H9" s="17" t="s">
        <v>63</v>
      </c>
      <c r="I9" s="11" t="s">
        <v>30</v>
      </c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78">
        <f t="shared" si="1"/>
        <v>0</v>
      </c>
      <c r="AP9" s="59">
        <v>0.0</v>
      </c>
      <c r="AQ9" s="59">
        <v>0.0</v>
      </c>
    </row>
    <row r="10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</row>
    <row r="11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</row>
    <row r="12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</row>
    <row r="13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</row>
    <row r="14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</row>
    <row r="15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</row>
    <row r="16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</row>
    <row r="17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</row>
  </sheetData>
  <dataValidations>
    <dataValidation type="list" allowBlank="1" showErrorMessage="1" sqref="C2:C4">
      <formula1>"ECONOMUS,CABESP,ALICE SAÚDE,VIVEST,PORTO SEGURO"</formula1>
    </dataValidation>
    <dataValidation type="list" allowBlank="1" showErrorMessage="1" sqref="I2:I9">
      <formula1>"1X/SEMANA,2X/SEMANA,3X/SEMANA,4X/SEMANA,5X/SEMANA,6X/SEMANA,1X/DIA ,2X/DIA,3X/DIA,4X/DIA,1X/MÊS,2X/MÊS ,BIMESTRAL,TRIMESTRAL,PONTUAL,AVALIAÇÃO"</formula1>
    </dataValidation>
    <dataValidation type="list" allowBlank="1" showErrorMessage="1" sqref="C5:C9">
      <formula1>"ECONOMUS,CABESP,ALICE SAÚDE,VIVEST,PORTO SEGURO,AMAFRESP,UNIMED,AFRESP"</formula1>
    </dataValidation>
    <dataValidation type="list" allowBlank="1" showErrorMessage="1" sqref="D2:D9">
      <formula1>"NOVO PACIENTE,READMISSÃO,TROCA,INTENSIFICAÇÃO,DESMAME,COBERTURA,REVEZAMENTO"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4.38"/>
    <col customWidth="1" min="2" max="2" width="44.5"/>
    <col customWidth="1" min="3" max="3" width="15.25"/>
    <col customWidth="1" min="4" max="4" width="18.88"/>
    <col customWidth="1" min="6" max="6" width="15.5"/>
    <col customWidth="1" min="7" max="7" width="29.0"/>
    <col customWidth="1" min="8" max="8" width="13.88"/>
    <col customWidth="1" min="9" max="9" width="16.5"/>
    <col customWidth="1" min="10" max="40" width="4.63"/>
    <col customWidth="1" min="41" max="43" width="9.0"/>
  </cols>
  <sheetData>
    <row r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>
        <v>1.0</v>
      </c>
      <c r="K1" s="3">
        <v>2.0</v>
      </c>
      <c r="L1" s="3">
        <v>3.0</v>
      </c>
      <c r="M1" s="3">
        <v>4.0</v>
      </c>
      <c r="N1" s="3">
        <v>5.0</v>
      </c>
      <c r="O1" s="3">
        <v>6.0</v>
      </c>
      <c r="P1" s="3">
        <v>7.0</v>
      </c>
      <c r="Q1" s="3">
        <v>8.0</v>
      </c>
      <c r="R1" s="3">
        <v>9.0</v>
      </c>
      <c r="S1" s="3">
        <v>10.0</v>
      </c>
      <c r="T1" s="3">
        <v>11.0</v>
      </c>
      <c r="U1" s="3">
        <v>12.0</v>
      </c>
      <c r="V1" s="3">
        <v>13.0</v>
      </c>
      <c r="W1" s="3">
        <v>14.0</v>
      </c>
      <c r="X1" s="3">
        <v>15.0</v>
      </c>
      <c r="Y1" s="3">
        <v>16.0</v>
      </c>
      <c r="Z1" s="3">
        <v>17.0</v>
      </c>
      <c r="AA1" s="3">
        <v>18.0</v>
      </c>
      <c r="AB1" s="3">
        <v>19.0</v>
      </c>
      <c r="AC1" s="3">
        <v>20.0</v>
      </c>
      <c r="AD1" s="3">
        <v>21.0</v>
      </c>
      <c r="AE1" s="3">
        <v>22.0</v>
      </c>
      <c r="AF1" s="3">
        <v>23.0</v>
      </c>
      <c r="AG1" s="3">
        <v>24.0</v>
      </c>
      <c r="AH1" s="3">
        <v>25.0</v>
      </c>
      <c r="AI1" s="3">
        <v>26.0</v>
      </c>
      <c r="AJ1" s="3">
        <v>27.0</v>
      </c>
      <c r="AK1" s="3">
        <v>28.0</v>
      </c>
      <c r="AL1" s="3">
        <v>29.0</v>
      </c>
      <c r="AM1" s="3">
        <v>30.0</v>
      </c>
      <c r="AN1" s="3">
        <v>31.0</v>
      </c>
      <c r="AO1" s="3" t="s">
        <v>10</v>
      </c>
      <c r="AP1" s="2" t="s">
        <v>67</v>
      </c>
      <c r="AQ1" s="2" t="s">
        <v>68</v>
      </c>
    </row>
    <row r="2" ht="18.75" customHeight="1">
      <c r="A2" s="58" t="s">
        <v>37</v>
      </c>
      <c r="B2" s="59" t="s">
        <v>60</v>
      </c>
      <c r="C2" s="11"/>
      <c r="D2" s="63"/>
      <c r="E2" s="15"/>
      <c r="F2" s="59" t="s">
        <v>61</v>
      </c>
      <c r="G2" s="66" t="s">
        <v>62</v>
      </c>
      <c r="H2" s="66" t="s">
        <v>63</v>
      </c>
      <c r="I2" s="19" t="s">
        <v>30</v>
      </c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76"/>
      <c r="AG2" s="76"/>
      <c r="AH2" s="76"/>
      <c r="AI2" s="76"/>
      <c r="AJ2" s="76"/>
      <c r="AK2" s="76"/>
      <c r="AL2" s="76"/>
      <c r="AM2" s="76"/>
      <c r="AN2" s="69"/>
      <c r="AO2" s="78">
        <f t="shared" ref="AO2:AO4" si="1">SUM(J2:AN2)</f>
        <v>0</v>
      </c>
      <c r="AP2" s="78"/>
      <c r="AQ2" s="78"/>
    </row>
    <row r="3">
      <c r="A3" s="80" t="s">
        <v>11</v>
      </c>
      <c r="B3" s="5" t="s">
        <v>39</v>
      </c>
      <c r="C3" s="11"/>
      <c r="D3" s="63"/>
      <c r="E3" s="15"/>
      <c r="F3" s="7" t="s">
        <v>40</v>
      </c>
      <c r="G3" s="16" t="s">
        <v>65</v>
      </c>
      <c r="H3" s="7" t="s">
        <v>66</v>
      </c>
      <c r="I3" s="19" t="s">
        <v>30</v>
      </c>
      <c r="J3" s="69"/>
      <c r="K3" s="69"/>
      <c r="L3" s="69"/>
      <c r="M3" s="69"/>
      <c r="N3" s="69"/>
      <c r="O3" s="69"/>
      <c r="P3" s="69"/>
      <c r="Q3" s="69"/>
      <c r="R3" s="69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78">
        <f t="shared" si="1"/>
        <v>0</v>
      </c>
      <c r="AP3" s="78"/>
      <c r="AQ3" s="78"/>
    </row>
    <row r="4">
      <c r="A4" s="84" t="s">
        <v>36</v>
      </c>
      <c r="B4" s="59" t="s">
        <v>82</v>
      </c>
      <c r="C4" s="10"/>
      <c r="D4" s="85"/>
      <c r="E4" s="81"/>
      <c r="F4" s="59" t="s">
        <v>83</v>
      </c>
      <c r="G4" s="17" t="s">
        <v>87</v>
      </c>
      <c r="H4" s="17" t="s">
        <v>63</v>
      </c>
      <c r="I4" s="11" t="s">
        <v>30</v>
      </c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78">
        <f t="shared" si="1"/>
        <v>0</v>
      </c>
      <c r="AP4" s="83"/>
      <c r="AQ4" s="83"/>
    </row>
    <row r="5">
      <c r="A5" s="25" t="s">
        <v>31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</row>
    <row r="6"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</row>
    <row r="7"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</row>
    <row r="8"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</row>
    <row r="9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</row>
    <row r="10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</row>
    <row r="11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</row>
    <row r="12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</row>
  </sheetData>
  <dataValidations>
    <dataValidation type="list" allowBlank="1" showErrorMessage="1" sqref="C2:C3">
      <formula1>"ECONOMUS,CABESP,ALICE SAÚDE,VIVEST,PORTO SEGURO"</formula1>
    </dataValidation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C4">
      <formula1>"ECONOMUS,CABESP,ALICE SAÚDE,VIVEST,PORTO SEGURO,AMAFRESP,UNIMED,AFRESP"</formula1>
    </dataValidation>
    <dataValidation type="list" allowBlank="1" showErrorMessage="1" sqref="D2:D4">
      <formula1>"NOVO PACIENTE,READMISSÃO,TROCA,INTENSIFICAÇÃO,DESMAME,COBERTURA,REVEZAMENTO"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