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EIRO26" sheetId="1" r:id="rId5"/>
    <sheet state="hidden" name="FEVEREIRO26" sheetId="2" r:id="rId6"/>
    <sheet state="hidden" name="Página2" sheetId="3" r:id="rId7"/>
    <sheet state="hidden" name="MARÇO26" sheetId="4" r:id="rId8"/>
    <sheet state="hidden" name="ABRIL26" sheetId="5" r:id="rId9"/>
    <sheet state="hidden" name="MAIO26" sheetId="6" r:id="rId10"/>
    <sheet state="visible" name="JUNHO26" sheetId="7" r:id="rId11"/>
    <sheet state="visible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
</t>
      </text>
    </comment>
    <comment authorId="0" ref="B6">
      <text>
        <t xml:space="preserve">Óbito em fevereiro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8">
      <text>
        <t xml:space="preserve">Readmissão 29/05/2026</t>
      </text>
    </comment>
  </commentList>
</comments>
</file>

<file path=xl/sharedStrings.xml><?xml version="1.0" encoding="utf-8"?>
<sst xmlns="http://schemas.openxmlformats.org/spreadsheetml/2006/main" count="459" uniqueCount="86">
  <si>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</si>
  <si>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</si>
  <si>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</si>
  <si>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</si>
  <si>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</si>
  <si>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</si>
  <si>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</si>
  <si>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</si>
  <si>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</si>
  <si>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</si>
  <si>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</si>
  <si>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 xml:space="preserve"> ELCO  APPARECIDO FORNAZALI</t>
  </si>
  <si>
    <t>GRACI LUIZA DE GODOI FORTES</t>
  </si>
  <si>
    <t>UNIMED</t>
  </si>
  <si>
    <t>AMAFRESP</t>
  </si>
  <si>
    <t>NOVO PACIENTE</t>
  </si>
  <si>
    <t>RIO CLARO</t>
  </si>
  <si>
    <t>Juliane A Fernandes</t>
  </si>
  <si>
    <t>SÃO PAULO</t>
  </si>
  <si>
    <t>19 98152-3313</t>
  </si>
  <si>
    <t>LILIANE GREEN FRREIRA </t>
  </si>
  <si>
    <t>11 98203-2204</t>
  </si>
  <si>
    <t>2X/SEMANA</t>
  </si>
  <si>
    <t>AVALIAÇÃO</t>
  </si>
  <si>
    <t xml:space="preserve">PENDENCIA </t>
  </si>
  <si>
    <t>NAELCIO FERREIRA</t>
  </si>
  <si>
    <t>ECONOMUS</t>
  </si>
  <si>
    <t>CAMPINAS</t>
  </si>
  <si>
    <t>Giovanna C. Vitali</t>
  </si>
  <si>
    <t>19 98264-9777</t>
  </si>
  <si>
    <t>ÓBITO</t>
  </si>
  <si>
    <t xml:space="preserve"> ANTONIO BUENO DE CAMARGO</t>
  </si>
  <si>
    <t>VILMA MARINO COSTA</t>
  </si>
  <si>
    <t>ALTA</t>
  </si>
  <si>
    <t xml:space="preserve">SÃO JOSE DOS CAMPOS </t>
  </si>
  <si>
    <t>Andréia Hias Faleiros</t>
  </si>
  <si>
    <t>12 99724-5635</t>
  </si>
  <si>
    <t>JOANOPOLIS</t>
  </si>
  <si>
    <t>Adriana Maria Gonçalves de Araújo</t>
  </si>
  <si>
    <t>11 99543-7574</t>
  </si>
  <si>
    <t>CARMELINA TONZUSO ARTESE</t>
  </si>
  <si>
    <t>Ana Carolina Pinheiro Rabelo</t>
  </si>
  <si>
    <t>11 95754-0044</t>
  </si>
  <si>
    <t>TROCA</t>
  </si>
  <si>
    <t>Lucimara Nassif Pinto</t>
  </si>
  <si>
    <t>11 97345-5116</t>
  </si>
  <si>
    <t>JOSE CARLOS RODRIGUES</t>
  </si>
  <si>
    <t>RAPHAELLA RIBEIRO MARTINS</t>
  </si>
  <si>
    <t>11 99575-2286</t>
  </si>
  <si>
    <t>PENDECIAS</t>
  </si>
  <si>
    <t>OK</t>
  </si>
  <si>
    <t>INTENSIFICAÇÃO</t>
  </si>
  <si>
    <t>9 ATEND</t>
  </si>
  <si>
    <t>PENDENCIA</t>
  </si>
  <si>
    <t>EDNEA DIAS PEIXOTO</t>
  </si>
  <si>
    <t>Mayara Lima do Amaral</t>
  </si>
  <si>
    <t>11 96079-1357</t>
  </si>
  <si>
    <t>1X/SEMANA</t>
  </si>
  <si>
    <t>-</t>
  </si>
  <si>
    <t>OBITO</t>
  </si>
  <si>
    <t>Raphael Silva Pereira</t>
  </si>
  <si>
    <t> 61 9137-3708</t>
  </si>
  <si>
    <t>ISABELA KAJIURA ANDRADE</t>
  </si>
  <si>
    <t>SÃO JOSÉ DOS CAMPOS</t>
  </si>
  <si>
    <t>Ellen Lemes Masson Sá</t>
  </si>
  <si>
    <t>12 98809-3565</t>
  </si>
  <si>
    <t>5X/SEMANA</t>
  </si>
  <si>
    <t>NELSON MONTEIRO</t>
  </si>
  <si>
    <t xml:space="preserve">PRAIA GRANDE </t>
  </si>
  <si>
    <t xml:space="preserve">Gisele Macedo Novaes </t>
  </si>
  <si>
    <t>21 99530-5345</t>
  </si>
  <si>
    <t>22 ATEND</t>
  </si>
  <si>
    <t xml:space="preserve"> VICENTE BERTOTTI </t>
  </si>
  <si>
    <t xml:space="preserve"> NELSON MONTEIRO</t>
  </si>
  <si>
    <t xml:space="preserve"> SÃO PAULO</t>
  </si>
  <si>
    <t>Fernanda Pereira de Camargo</t>
  </si>
  <si>
    <t>11 99876-1970</t>
  </si>
  <si>
    <t>Gisele Macedo Novaes</t>
  </si>
  <si>
    <t>4 ATEND</t>
  </si>
  <si>
    <t>8 ATEND</t>
  </si>
  <si>
    <t xml:space="preserve">Rel </t>
  </si>
  <si>
    <t>FP</t>
  </si>
  <si>
    <t>FRANCISCA FERREIRO NUNES</t>
  </si>
  <si>
    <t>Paloma dos Santos Nascimento</t>
  </si>
  <si>
    <t>11 93433-6494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</si>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</sst>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Arial"/>
    </font>
    <font>
      <sz val="11.0"/>
      <color rgb="FF000000"/>
      <name val="Calibri"/>
    </font>
    <font>
      <b/>
      <sz val="11.0"/>
      <color rgb="FFFFFFFF"/>
      <name val="Calibri"/>
    </font>
    <font>
      <b/>
      <color rgb="FFFFFFFF"/>
      <name val="Calibri"/>
    </font>
    <font>
      <b/>
      <color rgb="FF000000"/>
      <name val="Calibri"/>
    </font>
    <font>
      <sz val="11.0"/>
      <color rgb="FF242424"/>
      <name val="Calibri"/>
    </font>
    <font>
      <b/>
      <sz val="11.0"/>
      <color rgb="FF000000"/>
      <name val="Calibri"/>
    </font>
    <font>
      <sz val="12.0"/>
      <color rgb="FF242424"/>
      <name val="&quot;Calibri&quot;"/>
    </font>
    <font>
      <sz val="12.0"/>
      <color rgb="FF24242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horizontal="center" readingOrder="0" vertical="bottom"/>
    </xf>
    <xf borderId="2" fillId="0" fontId="5" numFmtId="49" xfId="0" applyAlignment="1" applyBorder="1" applyFont="1" applyNumberFormat="1">
      <alignment horizontal="center" vertical="bottom"/>
    </xf>
    <xf borderId="2" fillId="0" fontId="2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4" fontId="5" numFmtId="49" xfId="0" applyAlignment="1" applyBorder="1" applyFill="1" applyFont="1" applyNumberFormat="1">
      <alignment horizontal="center" vertical="bottom"/>
    </xf>
    <xf borderId="1" fillId="5" fontId="7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6" fontId="8" numFmtId="0" xfId="0" applyAlignment="1" applyBorder="1" applyFill="1" applyFont="1">
      <alignment horizontal="center" vertical="bottom"/>
    </xf>
    <xf borderId="1" fillId="6" fontId="9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vertical="bottom"/>
    </xf>
    <xf borderId="1" fillId="7" fontId="5" numFmtId="0" xfId="0" applyAlignment="1" applyBorder="1" applyFill="1" applyFont="1">
      <alignment horizontal="center" vertical="bottom"/>
    </xf>
    <xf borderId="1" fillId="0" fontId="3" numFmtId="49" xfId="0" applyAlignment="1" applyBorder="1" applyFont="1" applyNumberFormat="1">
      <alignment horizontal="center" readingOrder="0" vertical="bottom"/>
    </xf>
    <xf borderId="0" fillId="5" fontId="5" numFmtId="0" xfId="0" applyAlignment="1" applyFon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6" fontId="6" numFmtId="0" xfId="0" applyAlignment="1" applyBorder="1" applyFont="1">
      <alignment vertical="bottom"/>
    </xf>
    <xf borderId="1" fillId="3" fontId="8" numFmtId="0" xfId="0" applyAlignment="1" applyBorder="1" applyFont="1">
      <alignment horizontal="center" readingOrder="0" vertical="bottom"/>
    </xf>
    <xf borderId="3" fillId="7" fontId="5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1" fillId="5" fontId="3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/>
    </xf>
    <xf borderId="4" fillId="5" fontId="11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3" fillId="6" fontId="5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3" fillId="5" fontId="5" numFmtId="0" xfId="0" applyAlignment="1" applyBorder="1" applyFont="1">
      <alignment horizontal="center" vertical="bottom"/>
    </xf>
    <xf borderId="0" fillId="0" fontId="14" numFmtId="0" xfId="0" applyAlignment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5" fontId="4" numFmtId="49" xfId="0" applyAlignment="1" applyBorder="1" applyFont="1" applyNumberFormat="1">
      <alignment horizontal="center" readingOrder="0" vertical="bottom"/>
    </xf>
    <xf borderId="2" fillId="5" fontId="2" numFmtId="49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/>
    </xf>
    <xf borderId="0" fillId="5" fontId="11" numFmtId="0" xfId="0" applyAlignment="1" applyFont="1">
      <alignment horizontal="center" readingOrder="0"/>
    </xf>
    <xf borderId="2" fillId="5" fontId="3" numFmtId="49" xfId="0" applyAlignment="1" applyBorder="1" applyFont="1" applyNumberFormat="1">
      <alignment horizontal="center" readingOrder="0" vertical="bottom"/>
    </xf>
    <xf borderId="1" fillId="5" fontId="1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vertical="bottom"/>
    </xf>
    <xf borderId="1" fillId="7" fontId="5" numFmtId="49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3" fontId="5" numFmtId="49" xfId="0" applyAlignment="1" applyBorder="1" applyFont="1" applyNumberFormat="1">
      <alignment horizontal="center" vertical="bottom"/>
    </xf>
    <xf borderId="1" fillId="7" fontId="7" numFmtId="0" xfId="0" applyAlignment="1" applyBorder="1" applyFont="1">
      <alignment horizontal="center" readingOrder="0"/>
    </xf>
    <xf borderId="1" fillId="6" fontId="5" numFmtId="49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8.88"/>
    <col customWidth="1" min="3" max="3" width="15.13"/>
    <col customWidth="1" min="4" max="4" width="15.38"/>
    <col customWidth="1" min="7" max="7" width="23.0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5" t="s">
        <v>12</v>
      </c>
      <c r="C2" s="7" t="s">
        <v>14</v>
      </c>
      <c r="D2" s="9" t="s">
        <v>15</v>
      </c>
      <c r="E2" s="11">
        <v>46045.0</v>
      </c>
      <c r="F2" s="5" t="s">
        <v>18</v>
      </c>
      <c r="G2" s="5" t="s">
        <v>20</v>
      </c>
      <c r="H2" s="5" t="s">
        <v>21</v>
      </c>
      <c r="I2" s="13" t="s">
        <v>23</v>
      </c>
      <c r="J2" s="15"/>
      <c r="K2" s="15"/>
      <c r="L2" s="15"/>
      <c r="M2" s="15"/>
      <c r="N2" s="15"/>
      <c r="O2" s="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5">
        <v>1.0</v>
      </c>
      <c r="AG2" s="15"/>
      <c r="AH2" s="15"/>
      <c r="AI2" s="15"/>
      <c r="AJ2" s="15"/>
      <c r="AK2" s="15"/>
      <c r="AL2" s="15"/>
      <c r="AM2" s="15"/>
      <c r="AN2" s="15"/>
      <c r="AO2" s="20">
        <f t="shared" ref="AO2:AO3" si="1">SUM(J2:AN2)</f>
        <v>1</v>
      </c>
    </row>
    <row r="3">
      <c r="A3" s="18" t="s">
        <v>24</v>
      </c>
      <c r="B3" s="5" t="s">
        <v>25</v>
      </c>
      <c r="C3" s="7" t="s">
        <v>26</v>
      </c>
      <c r="D3" s="9" t="s">
        <v>15</v>
      </c>
      <c r="E3" s="11">
        <v>46035.0</v>
      </c>
      <c r="F3" s="5" t="s">
        <v>27</v>
      </c>
      <c r="G3" s="5" t="s">
        <v>28</v>
      </c>
      <c r="H3" s="5" t="s">
        <v>29</v>
      </c>
      <c r="I3" s="13" t="s">
        <v>22</v>
      </c>
      <c r="J3" s="5">
        <v>1.0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20">
        <f t="shared" si="1"/>
        <v>1</v>
      </c>
    </row>
    <row r="4">
      <c r="A4" s="24" t="s">
        <v>30</v>
      </c>
    </row>
    <row r="5">
      <c r="A5" s="26" t="s">
        <v>33</v>
      </c>
    </row>
    <row r="6">
      <c r="A6" s="28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"ECONOMUS,CABESP,ALICE SAÚDE,VIVEST,PORTO SEGURO,AMAFRESP"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8.88"/>
    <col customWidth="1" min="3" max="3" width="15.13"/>
    <col customWidth="1" min="4" max="4" width="15.38"/>
    <col customWidth="1" min="6" max="6" width="19.0"/>
    <col customWidth="1" min="7" max="7" width="23.0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6" t="s">
        <v>13</v>
      </c>
      <c r="D2" s="8" t="s">
        <v>15</v>
      </c>
      <c r="E2" s="10"/>
      <c r="F2" s="4" t="s">
        <v>16</v>
      </c>
      <c r="G2" s="12" t="s">
        <v>17</v>
      </c>
      <c r="H2" s="12" t="s">
        <v>19</v>
      </c>
      <c r="I2" s="13" t="s">
        <v>22</v>
      </c>
      <c r="J2" s="1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7">
        <v>0.0</v>
      </c>
    </row>
    <row r="3">
      <c r="A3" s="18" t="s">
        <v>24</v>
      </c>
      <c r="B3" s="19" t="s">
        <v>25</v>
      </c>
      <c r="C3" s="7" t="s">
        <v>26</v>
      </c>
      <c r="D3" s="9"/>
      <c r="E3" s="11"/>
      <c r="F3" s="5" t="s">
        <v>27</v>
      </c>
      <c r="G3" s="5" t="s">
        <v>28</v>
      </c>
      <c r="H3" s="5" t="s">
        <v>29</v>
      </c>
      <c r="I3" s="13" t="s">
        <v>22</v>
      </c>
      <c r="J3" s="5"/>
      <c r="K3" s="15"/>
      <c r="L3" s="15"/>
      <c r="M3" s="15"/>
      <c r="N3" s="15"/>
      <c r="O3" s="15"/>
      <c r="P3" s="15"/>
      <c r="Q3" s="15"/>
      <c r="R3" s="15"/>
      <c r="S3" s="21"/>
      <c r="T3" s="22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0">
        <f>SUM(J3:AN3)</f>
        <v>0</v>
      </c>
    </row>
    <row r="4">
      <c r="A4" s="24" t="s">
        <v>30</v>
      </c>
      <c r="B4" s="19" t="s">
        <v>32</v>
      </c>
      <c r="C4" s="7" t="s">
        <v>14</v>
      </c>
      <c r="D4" s="9" t="s">
        <v>15</v>
      </c>
      <c r="E4" s="11">
        <v>46077.0</v>
      </c>
      <c r="F4" s="5" t="s">
        <v>34</v>
      </c>
      <c r="G4" s="5" t="s">
        <v>35</v>
      </c>
      <c r="H4" s="5" t="s">
        <v>36</v>
      </c>
      <c r="I4" s="13" t="s">
        <v>22</v>
      </c>
      <c r="J4" s="5"/>
      <c r="K4" s="15"/>
      <c r="L4" s="15"/>
      <c r="M4" s="15"/>
      <c r="N4" s="15"/>
      <c r="O4" s="15"/>
      <c r="P4" s="15"/>
      <c r="Q4" s="15"/>
      <c r="R4" s="15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0">
        <v>0.0</v>
      </c>
    </row>
    <row r="5">
      <c r="A5" s="26" t="s">
        <v>33</v>
      </c>
    </row>
  </sheetData>
  <dataValidations>
    <dataValidation type="list" allowBlank="1" showErrorMessage="1" sqref="C2">
      <formula1>"ECONOMUS,CABESP,ALICE SAÚDE,VIVEST,PORTO SEGURO,AMAFRESP,UNIMED"</formula1>
    </dataValidation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PACIENTE,READMISSÃO,TROCA,INTENSIFICAÇÃO,DESMAME,COBERTURA,REVEZAMENTO"</formula1>
    </dataValidation>
    <dataValidation type="list" allowBlank="1" showErrorMessage="1" sqref="C3:C4">
      <formula1>"ECONOMUS,CABESP,ALICE SAÚDE,VIVEST,PORTO SEGURO,AMAFRESP"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1.38"/>
    <col customWidth="1" min="3" max="3" width="15.13"/>
    <col customWidth="1" min="4" max="4" width="18.75"/>
    <col customWidth="1" min="6" max="6" width="26.63"/>
    <col customWidth="1" min="7" max="7" width="30.38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6" t="s">
        <v>13</v>
      </c>
      <c r="D2" s="9"/>
      <c r="E2" s="10"/>
      <c r="F2" s="4" t="s">
        <v>16</v>
      </c>
      <c r="G2" s="12" t="s">
        <v>17</v>
      </c>
      <c r="H2" s="12" t="s">
        <v>19</v>
      </c>
      <c r="I2" s="13" t="s">
        <v>22</v>
      </c>
      <c r="J2" s="1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7">
        <v>0.0</v>
      </c>
    </row>
    <row r="3">
      <c r="A3" s="18" t="s">
        <v>24</v>
      </c>
      <c r="B3" s="25" t="s">
        <v>31</v>
      </c>
      <c r="C3" s="27" t="s">
        <v>26</v>
      </c>
      <c r="D3" s="9" t="s">
        <v>15</v>
      </c>
      <c r="E3" s="29">
        <v>46080.0</v>
      </c>
      <c r="F3" s="12" t="s">
        <v>37</v>
      </c>
      <c r="G3" s="12" t="s">
        <v>38</v>
      </c>
      <c r="H3" s="12" t="s">
        <v>39</v>
      </c>
      <c r="I3" s="13" t="s">
        <v>22</v>
      </c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7"/>
    </row>
    <row r="4">
      <c r="A4" s="24"/>
      <c r="B4" s="31" t="s">
        <v>31</v>
      </c>
      <c r="C4" s="7" t="s">
        <v>26</v>
      </c>
      <c r="D4" s="9" t="s">
        <v>43</v>
      </c>
      <c r="E4" s="11">
        <v>46090.0</v>
      </c>
      <c r="F4" s="12" t="s">
        <v>37</v>
      </c>
      <c r="G4" s="5" t="s">
        <v>44</v>
      </c>
      <c r="H4" s="5" t="s">
        <v>45</v>
      </c>
      <c r="I4" s="13" t="s">
        <v>22</v>
      </c>
      <c r="J4" s="5"/>
      <c r="K4" s="15"/>
      <c r="L4" s="15"/>
      <c r="M4" s="15"/>
      <c r="N4" s="15"/>
      <c r="O4" s="15"/>
      <c r="P4" s="15"/>
      <c r="Q4" s="15"/>
      <c r="R4" s="15"/>
      <c r="S4" s="22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0"/>
    </row>
    <row r="5">
      <c r="A5" s="24"/>
      <c r="B5" s="19" t="s">
        <v>40</v>
      </c>
      <c r="C5" s="7"/>
      <c r="D5" s="9" t="s">
        <v>15</v>
      </c>
      <c r="E5" s="11">
        <v>46091.0</v>
      </c>
      <c r="F5" s="5" t="s">
        <v>18</v>
      </c>
      <c r="G5" s="5" t="s">
        <v>41</v>
      </c>
      <c r="H5" s="5" t="s">
        <v>42</v>
      </c>
      <c r="I5" s="13" t="s">
        <v>23</v>
      </c>
      <c r="J5" s="5"/>
      <c r="K5" s="15"/>
      <c r="L5" s="15"/>
      <c r="M5" s="15"/>
      <c r="N5" s="15"/>
      <c r="O5" s="15"/>
      <c r="P5" s="15"/>
      <c r="Q5" s="15"/>
      <c r="R5" s="15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0"/>
    </row>
    <row r="6">
      <c r="A6" s="24"/>
      <c r="B6" s="19" t="s">
        <v>40</v>
      </c>
      <c r="C6" s="7"/>
      <c r="D6" s="9" t="s">
        <v>51</v>
      </c>
      <c r="E6" s="11">
        <v>46093.0</v>
      </c>
      <c r="F6" s="5" t="s">
        <v>18</v>
      </c>
      <c r="G6" s="5" t="s">
        <v>41</v>
      </c>
      <c r="H6" s="5" t="s">
        <v>42</v>
      </c>
      <c r="I6" s="13" t="s">
        <v>22</v>
      </c>
      <c r="J6" s="5"/>
      <c r="K6" s="15"/>
      <c r="L6" s="15"/>
      <c r="M6" s="15"/>
      <c r="N6" s="15"/>
      <c r="O6" s="15"/>
      <c r="P6" s="15"/>
      <c r="Q6" s="15"/>
      <c r="R6" s="15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0"/>
    </row>
    <row r="7">
      <c r="A7" s="24" t="s">
        <v>30</v>
      </c>
      <c r="B7" s="41" t="s">
        <v>25</v>
      </c>
      <c r="C7" s="7" t="s">
        <v>26</v>
      </c>
      <c r="D7" s="9"/>
      <c r="E7" s="11"/>
      <c r="F7" s="5" t="s">
        <v>27</v>
      </c>
      <c r="G7" s="5" t="s">
        <v>28</v>
      </c>
      <c r="H7" s="5" t="s">
        <v>29</v>
      </c>
      <c r="I7" s="13" t="s">
        <v>22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20">
        <f>SUM(J7:AN7)</f>
        <v>0</v>
      </c>
    </row>
    <row r="8">
      <c r="A8" s="26"/>
      <c r="B8" s="19" t="s">
        <v>72</v>
      </c>
      <c r="C8" s="7" t="s">
        <v>14</v>
      </c>
      <c r="D8" s="9" t="s">
        <v>15</v>
      </c>
      <c r="E8" s="11">
        <v>46087.0</v>
      </c>
      <c r="F8" s="5" t="s">
        <v>18</v>
      </c>
      <c r="G8" s="44" t="s">
        <v>41</v>
      </c>
      <c r="H8" s="5" t="s">
        <v>42</v>
      </c>
      <c r="I8" s="13" t="s">
        <v>22</v>
      </c>
      <c r="J8" s="5"/>
      <c r="K8" s="15"/>
      <c r="L8" s="15"/>
      <c r="M8" s="15"/>
      <c r="N8" s="15"/>
      <c r="O8" s="15"/>
      <c r="P8" s="15"/>
      <c r="Q8" s="15"/>
      <c r="R8" s="15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0"/>
    </row>
    <row r="9">
      <c r="A9" s="26" t="s">
        <v>33</v>
      </c>
      <c r="B9" s="19" t="s">
        <v>32</v>
      </c>
      <c r="C9" s="7" t="s">
        <v>14</v>
      </c>
      <c r="D9" s="9"/>
      <c r="E9" s="11"/>
      <c r="F9" s="5" t="s">
        <v>34</v>
      </c>
      <c r="G9" s="5" t="s">
        <v>35</v>
      </c>
      <c r="H9" s="5" t="s">
        <v>36</v>
      </c>
      <c r="I9" s="13" t="s">
        <v>22</v>
      </c>
      <c r="J9" s="5"/>
      <c r="K9" s="15"/>
      <c r="L9" s="15"/>
      <c r="M9" s="15"/>
      <c r="N9" s="15"/>
      <c r="O9" s="15"/>
      <c r="P9" s="15"/>
      <c r="Q9" s="15"/>
      <c r="R9" s="15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0">
        <v>0.0</v>
      </c>
    </row>
  </sheetData>
  <dataValidations>
    <dataValidation type="list" allowBlank="1" showErrorMessage="1" sqref="C2:C3">
      <formula1>"ECONOMUS,CABESP,ALICE SAÚDE,VIVEST,PORTO SEGURO,AMAFRESP,UNIMED"</formula1>
    </dataValidation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C4:C9">
      <formula1>"ECONOMUS,CABESP,ALICE SAÚDE,VIVEST,PORTO SEGURO,AMAFRESP"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1.38"/>
    <col customWidth="1" min="3" max="3" width="15.13"/>
    <col customWidth="1" min="4" max="4" width="18.75"/>
    <col customWidth="1" min="6" max="6" width="26.63"/>
    <col customWidth="1" min="7" max="7" width="30.38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23" t="s">
        <v>11</v>
      </c>
      <c r="C2" s="6" t="s">
        <v>13</v>
      </c>
      <c r="D2" s="9"/>
      <c r="E2" s="10"/>
      <c r="F2" s="4" t="s">
        <v>16</v>
      </c>
      <c r="G2" s="12" t="s">
        <v>17</v>
      </c>
      <c r="H2" s="12" t="s">
        <v>19</v>
      </c>
      <c r="I2" s="13" t="s">
        <v>22</v>
      </c>
      <c r="J2" s="14"/>
      <c r="K2" s="16"/>
      <c r="L2" s="16"/>
      <c r="M2" s="16"/>
      <c r="N2" s="16"/>
      <c r="O2" s="16"/>
      <c r="P2" s="16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17">
        <v>0.0</v>
      </c>
    </row>
    <row r="3">
      <c r="A3" s="24" t="s">
        <v>30</v>
      </c>
      <c r="B3" s="19" t="s">
        <v>40</v>
      </c>
      <c r="C3" s="7"/>
      <c r="D3" s="9"/>
      <c r="E3" s="11"/>
      <c r="F3" s="5" t="s">
        <v>18</v>
      </c>
      <c r="G3" s="5" t="s">
        <v>41</v>
      </c>
      <c r="H3" s="5" t="s">
        <v>42</v>
      </c>
      <c r="I3" s="13" t="s">
        <v>22</v>
      </c>
      <c r="J3" s="5"/>
      <c r="K3" s="15"/>
      <c r="L3" s="15"/>
      <c r="M3" s="15"/>
      <c r="N3" s="15"/>
      <c r="O3" s="15"/>
      <c r="P3" s="15"/>
      <c r="Q3" s="15"/>
      <c r="R3" s="15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0"/>
    </row>
    <row r="4">
      <c r="A4" s="32" t="s">
        <v>33</v>
      </c>
      <c r="B4" s="19" t="s">
        <v>46</v>
      </c>
      <c r="C4" s="7"/>
      <c r="D4" s="9" t="s">
        <v>15</v>
      </c>
      <c r="E4" s="11">
        <v>46118.0</v>
      </c>
      <c r="F4" s="5" t="s">
        <v>18</v>
      </c>
      <c r="G4" s="5" t="s">
        <v>47</v>
      </c>
      <c r="H4" s="5" t="s">
        <v>48</v>
      </c>
      <c r="I4" s="13" t="s">
        <v>23</v>
      </c>
      <c r="J4" s="5"/>
      <c r="K4" s="15"/>
      <c r="L4" s="15"/>
      <c r="M4" s="15"/>
      <c r="N4" s="15"/>
      <c r="O4" s="15"/>
      <c r="P4" s="15"/>
      <c r="Q4" s="15"/>
      <c r="R4" s="15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0"/>
    </row>
    <row r="5">
      <c r="A5" s="34" t="s">
        <v>49</v>
      </c>
      <c r="B5" s="19" t="s">
        <v>46</v>
      </c>
      <c r="C5" s="7"/>
      <c r="D5" s="9" t="s">
        <v>51</v>
      </c>
      <c r="E5" s="11">
        <v>46119.0</v>
      </c>
      <c r="F5" s="5" t="s">
        <v>18</v>
      </c>
      <c r="G5" s="5" t="s">
        <v>47</v>
      </c>
      <c r="H5" s="5" t="s">
        <v>48</v>
      </c>
      <c r="I5" s="13" t="s">
        <v>22</v>
      </c>
      <c r="J5" s="5"/>
      <c r="K5" s="15"/>
      <c r="L5" s="15"/>
      <c r="M5" s="15"/>
      <c r="N5" s="15"/>
      <c r="O5" s="15"/>
      <c r="P5" s="15"/>
      <c r="Q5" s="15"/>
      <c r="R5" s="15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0"/>
    </row>
    <row r="6">
      <c r="A6" s="28"/>
      <c r="B6" s="39" t="s">
        <v>25</v>
      </c>
      <c r="C6" s="7" t="s">
        <v>26</v>
      </c>
      <c r="D6" s="9"/>
      <c r="E6" s="11"/>
      <c r="F6" s="5" t="s">
        <v>27</v>
      </c>
      <c r="G6" s="5" t="s">
        <v>28</v>
      </c>
      <c r="H6" s="5" t="s">
        <v>29</v>
      </c>
      <c r="I6" s="13" t="s">
        <v>22</v>
      </c>
      <c r="J6" s="5"/>
      <c r="K6" s="15"/>
      <c r="L6" s="15"/>
      <c r="M6" s="15"/>
      <c r="N6" s="15"/>
      <c r="O6" s="15"/>
      <c r="P6" s="15"/>
      <c r="Q6" s="15"/>
      <c r="R6" s="15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0">
        <f>SUM(J6:AN6)</f>
        <v>0</v>
      </c>
    </row>
    <row r="7">
      <c r="A7" s="28"/>
      <c r="B7" s="43" t="s">
        <v>67</v>
      </c>
      <c r="C7" s="7"/>
      <c r="D7" s="9" t="s">
        <v>15</v>
      </c>
      <c r="E7" s="11">
        <v>46134.0</v>
      </c>
      <c r="F7" s="5" t="s">
        <v>68</v>
      </c>
      <c r="G7" s="44" t="s">
        <v>69</v>
      </c>
      <c r="H7" s="5" t="s">
        <v>70</v>
      </c>
      <c r="I7" s="13" t="s">
        <v>23</v>
      </c>
      <c r="J7" s="5"/>
      <c r="K7" s="15"/>
      <c r="L7" s="15"/>
      <c r="M7" s="15"/>
      <c r="N7" s="15"/>
      <c r="O7" s="15"/>
      <c r="P7" s="15"/>
      <c r="Q7" s="15"/>
      <c r="R7" s="15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0"/>
    </row>
    <row r="8">
      <c r="A8" s="28"/>
      <c r="B8" s="19" t="s">
        <v>72</v>
      </c>
      <c r="C8" s="7" t="s">
        <v>14</v>
      </c>
      <c r="D8" s="9"/>
      <c r="E8" s="11"/>
      <c r="F8" s="5" t="s">
        <v>18</v>
      </c>
      <c r="G8" s="44" t="s">
        <v>41</v>
      </c>
      <c r="H8" s="5" t="s">
        <v>42</v>
      </c>
      <c r="I8" s="13" t="s">
        <v>22</v>
      </c>
      <c r="J8" s="5"/>
      <c r="K8" s="15"/>
      <c r="L8" s="15"/>
      <c r="M8" s="15"/>
      <c r="N8" s="15"/>
      <c r="O8" s="15"/>
      <c r="P8" s="15"/>
      <c r="Q8" s="15"/>
      <c r="R8" s="15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0"/>
    </row>
    <row r="9">
      <c r="A9" s="28"/>
      <c r="B9" s="19" t="s">
        <v>32</v>
      </c>
      <c r="C9" s="7" t="s">
        <v>14</v>
      </c>
      <c r="D9" s="9"/>
      <c r="E9" s="11"/>
      <c r="F9" s="5" t="s">
        <v>34</v>
      </c>
      <c r="G9" s="5" t="s">
        <v>35</v>
      </c>
      <c r="H9" s="5" t="s">
        <v>36</v>
      </c>
      <c r="I9" s="13" t="s">
        <v>22</v>
      </c>
      <c r="J9" s="5"/>
      <c r="K9" s="15"/>
      <c r="L9" s="15"/>
      <c r="M9" s="15"/>
      <c r="N9" s="15"/>
      <c r="O9" s="15"/>
      <c r="P9" s="15"/>
      <c r="Q9" s="15"/>
      <c r="R9" s="15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0">
        <v>0.0</v>
      </c>
    </row>
  </sheetData>
  <dataValidations>
    <dataValidation type="list" allowBlank="1" showErrorMessage="1" sqref="C2">
      <formula1>"ECONOMUS,CABESP,ALICE SAÚDE,VIVEST,PORTO SEGURO,AMAFRESP,UNIMED"</formula1>
    </dataValidation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C3:C9">
      <formula1>"ECONOMUS,CABESP,ALICE SAÚDE,VIVEST,PORTO SEGURO,AMAFRESP"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1.38"/>
    <col customWidth="1" min="3" max="3" width="15.13"/>
    <col customWidth="1" min="4" max="4" width="18.75"/>
    <col customWidth="1" min="6" max="6" width="26.63"/>
    <col customWidth="1" min="7" max="7" width="30.38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3" t="s">
        <v>10</v>
      </c>
      <c r="B2" s="19" t="s">
        <v>40</v>
      </c>
      <c r="C2" s="7"/>
      <c r="D2" s="9"/>
      <c r="E2" s="11"/>
      <c r="F2" s="5" t="s">
        <v>18</v>
      </c>
      <c r="G2" s="5" t="s">
        <v>41</v>
      </c>
      <c r="H2" s="5" t="s">
        <v>42</v>
      </c>
      <c r="I2" s="13" t="s">
        <v>22</v>
      </c>
      <c r="J2" s="5" t="s">
        <v>50</v>
      </c>
      <c r="K2" s="15"/>
      <c r="L2" s="15"/>
      <c r="M2" s="5">
        <v>1.0</v>
      </c>
      <c r="N2" s="15"/>
      <c r="O2" s="5">
        <v>1.0</v>
      </c>
      <c r="P2" s="15"/>
      <c r="Q2" s="15"/>
      <c r="R2" s="15"/>
      <c r="S2" s="22"/>
      <c r="T2" s="35">
        <v>1.0</v>
      </c>
      <c r="U2" s="22"/>
      <c r="V2" s="35">
        <v>1.0</v>
      </c>
      <c r="W2" s="22"/>
      <c r="X2" s="22"/>
      <c r="Y2" s="22"/>
      <c r="Z2" s="22"/>
      <c r="AA2" s="35">
        <v>1.0</v>
      </c>
      <c r="AB2" s="22"/>
      <c r="AC2" s="35">
        <v>1.0</v>
      </c>
      <c r="AD2" s="22"/>
      <c r="AE2" s="22"/>
      <c r="AF2" s="22"/>
      <c r="AG2" s="22"/>
      <c r="AH2" s="35">
        <v>1.0</v>
      </c>
      <c r="AI2" s="22"/>
      <c r="AJ2" s="35">
        <v>1.0</v>
      </c>
      <c r="AK2" s="22"/>
      <c r="AL2" s="22"/>
      <c r="AM2" s="22"/>
      <c r="AN2" s="22"/>
      <c r="AO2" s="20">
        <f t="shared" ref="AO2:AO9" si="1">SUM(J2:AN2)</f>
        <v>8</v>
      </c>
    </row>
    <row r="3">
      <c r="A3" s="36" t="s">
        <v>53</v>
      </c>
      <c r="B3" s="19" t="s">
        <v>54</v>
      </c>
      <c r="C3" s="7"/>
      <c r="D3" s="9" t="s">
        <v>15</v>
      </c>
      <c r="E3" s="11">
        <v>46163.0</v>
      </c>
      <c r="F3" s="5" t="s">
        <v>18</v>
      </c>
      <c r="G3" s="37" t="s">
        <v>55</v>
      </c>
      <c r="H3" s="38" t="s">
        <v>56</v>
      </c>
      <c r="I3" s="13" t="s">
        <v>22</v>
      </c>
      <c r="J3" s="5" t="s">
        <v>50</v>
      </c>
      <c r="K3" s="15"/>
      <c r="L3" s="15"/>
      <c r="M3" s="15"/>
      <c r="N3" s="15"/>
      <c r="O3" s="15"/>
      <c r="P3" s="15"/>
      <c r="Q3" s="15"/>
      <c r="R3" s="15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0">
        <f t="shared" si="1"/>
        <v>0</v>
      </c>
    </row>
    <row r="4">
      <c r="A4" s="40" t="s">
        <v>59</v>
      </c>
      <c r="B4" s="19" t="s">
        <v>62</v>
      </c>
      <c r="C4" s="7"/>
      <c r="D4" s="9" t="s">
        <v>15</v>
      </c>
      <c r="E4" s="11">
        <v>46161.0</v>
      </c>
      <c r="F4" s="5" t="s">
        <v>63</v>
      </c>
      <c r="G4" s="37" t="s">
        <v>64</v>
      </c>
      <c r="H4" s="37" t="s">
        <v>65</v>
      </c>
      <c r="I4" s="13" t="s">
        <v>66</v>
      </c>
      <c r="J4" s="5" t="s">
        <v>50</v>
      </c>
      <c r="K4" s="15"/>
      <c r="L4" s="15"/>
      <c r="M4" s="15"/>
      <c r="N4" s="15"/>
      <c r="O4" s="15"/>
      <c r="P4" s="15"/>
      <c r="Q4" s="15"/>
      <c r="R4" s="15"/>
      <c r="S4" s="22"/>
      <c r="T4" s="22"/>
      <c r="U4" s="22"/>
      <c r="V4" s="22"/>
      <c r="W4" s="22"/>
      <c r="X4" s="22"/>
      <c r="Y4" s="22"/>
      <c r="Z4" s="22"/>
      <c r="AA4" s="22"/>
      <c r="AB4" s="22"/>
      <c r="AC4" s="35">
        <v>1.0</v>
      </c>
      <c r="AD4" s="35">
        <v>1.0</v>
      </c>
      <c r="AE4" s="35">
        <v>1.0</v>
      </c>
      <c r="AF4" s="22"/>
      <c r="AG4" s="22"/>
      <c r="AH4" s="35">
        <v>1.0</v>
      </c>
      <c r="AI4" s="35">
        <v>1.0</v>
      </c>
      <c r="AJ4" s="35">
        <v>1.0</v>
      </c>
      <c r="AK4" s="35">
        <v>1.0</v>
      </c>
      <c r="AL4" s="35">
        <v>1.0</v>
      </c>
      <c r="AM4" s="22"/>
      <c r="AN4" s="22"/>
      <c r="AO4" s="20">
        <f t="shared" si="1"/>
        <v>8</v>
      </c>
    </row>
    <row r="5">
      <c r="A5" s="32" t="s">
        <v>33</v>
      </c>
      <c r="B5" s="19" t="s">
        <v>46</v>
      </c>
      <c r="C5" s="7"/>
      <c r="D5" s="9"/>
      <c r="E5" s="11"/>
      <c r="F5" s="5" t="s">
        <v>18</v>
      </c>
      <c r="G5" s="5" t="s">
        <v>47</v>
      </c>
      <c r="H5" s="5" t="s">
        <v>48</v>
      </c>
      <c r="I5" s="13" t="s">
        <v>22</v>
      </c>
      <c r="J5" s="5" t="s">
        <v>50</v>
      </c>
      <c r="K5" s="15"/>
      <c r="L5" s="15"/>
      <c r="M5" s="5">
        <v>1.0</v>
      </c>
      <c r="N5" s="15"/>
      <c r="O5" s="5">
        <v>1.0</v>
      </c>
      <c r="P5" s="15"/>
      <c r="Q5" s="15"/>
      <c r="R5" s="15"/>
      <c r="S5" s="22"/>
      <c r="T5" s="35">
        <v>1.0</v>
      </c>
      <c r="U5" s="22"/>
      <c r="V5" s="35">
        <v>1.0</v>
      </c>
      <c r="W5" s="22"/>
      <c r="X5" s="22"/>
      <c r="Y5" s="22"/>
      <c r="Z5" s="22"/>
      <c r="AA5" s="35">
        <v>1.0</v>
      </c>
      <c r="AB5" s="22"/>
      <c r="AC5" s="35">
        <v>1.0</v>
      </c>
      <c r="AD5" s="22"/>
      <c r="AE5" s="22"/>
      <c r="AF5" s="22"/>
      <c r="AG5" s="22"/>
      <c r="AH5" s="35">
        <v>1.0</v>
      </c>
      <c r="AI5" s="22"/>
      <c r="AJ5" s="35">
        <v>1.0</v>
      </c>
      <c r="AK5" s="22"/>
      <c r="AL5" s="22"/>
      <c r="AM5" s="22"/>
      <c r="AN5" s="22"/>
      <c r="AO5" s="20">
        <f t="shared" si="1"/>
        <v>8</v>
      </c>
    </row>
    <row r="6">
      <c r="A6" s="28"/>
      <c r="B6" s="19" t="s">
        <v>73</v>
      </c>
      <c r="C6" s="7"/>
      <c r="D6" s="9" t="s">
        <v>15</v>
      </c>
      <c r="E6" s="11">
        <v>46168.0</v>
      </c>
      <c r="F6" s="5" t="s">
        <v>74</v>
      </c>
      <c r="G6" s="46" t="s">
        <v>75</v>
      </c>
      <c r="H6" s="5" t="s">
        <v>76</v>
      </c>
      <c r="I6" s="13" t="s">
        <v>23</v>
      </c>
      <c r="J6" s="5" t="s">
        <v>50</v>
      </c>
      <c r="K6" s="15"/>
      <c r="L6" s="15"/>
      <c r="M6" s="15"/>
      <c r="N6" s="15"/>
      <c r="O6" s="15"/>
      <c r="P6" s="15"/>
      <c r="Q6" s="15"/>
      <c r="R6" s="15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35">
        <v>1.0</v>
      </c>
      <c r="AK6" s="22"/>
      <c r="AL6" s="22"/>
      <c r="AM6" s="22"/>
      <c r="AN6" s="22"/>
      <c r="AO6" s="20">
        <f t="shared" si="1"/>
        <v>1</v>
      </c>
    </row>
    <row r="7">
      <c r="A7" s="28"/>
      <c r="B7" s="19" t="s">
        <v>72</v>
      </c>
      <c r="C7" s="7" t="s">
        <v>14</v>
      </c>
      <c r="D7" s="9"/>
      <c r="E7" s="11"/>
      <c r="F7" s="5" t="s">
        <v>18</v>
      </c>
      <c r="G7" s="48" t="s">
        <v>41</v>
      </c>
      <c r="H7" s="5" t="s">
        <v>42</v>
      </c>
      <c r="I7" s="13" t="s">
        <v>22</v>
      </c>
      <c r="J7" s="5" t="s">
        <v>50</v>
      </c>
      <c r="K7" s="15"/>
      <c r="L7" s="15"/>
      <c r="M7" s="15"/>
      <c r="N7" s="15"/>
      <c r="O7" s="15"/>
      <c r="P7" s="15"/>
      <c r="Q7" s="15"/>
      <c r="R7" s="15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0">
        <f t="shared" si="1"/>
        <v>0</v>
      </c>
    </row>
    <row r="8">
      <c r="A8" s="28"/>
      <c r="B8" s="19" t="s">
        <v>72</v>
      </c>
      <c r="C8" s="7" t="s">
        <v>14</v>
      </c>
      <c r="D8" s="9" t="s">
        <v>43</v>
      </c>
      <c r="E8" s="11">
        <v>46149.0</v>
      </c>
      <c r="F8" s="5" t="s">
        <v>18</v>
      </c>
      <c r="G8" s="54" t="s">
        <v>55</v>
      </c>
      <c r="H8" s="37" t="s">
        <v>56</v>
      </c>
      <c r="I8" s="13" t="s">
        <v>22</v>
      </c>
      <c r="J8" s="5" t="s">
        <v>50</v>
      </c>
      <c r="K8" s="15"/>
      <c r="L8" s="15"/>
      <c r="M8" s="15"/>
      <c r="N8" s="15"/>
      <c r="O8" s="15"/>
      <c r="P8" s="15"/>
      <c r="Q8" s="5">
        <v>1.0</v>
      </c>
      <c r="R8" s="15"/>
      <c r="S8" s="22"/>
      <c r="T8" s="22"/>
      <c r="U8" s="35">
        <v>1.0</v>
      </c>
      <c r="V8" s="22"/>
      <c r="W8" s="35">
        <v>1.0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2"/>
      <c r="AM8" s="22"/>
      <c r="AN8" s="22"/>
      <c r="AO8" s="20">
        <f t="shared" si="1"/>
        <v>3</v>
      </c>
    </row>
    <row r="9">
      <c r="A9" s="28"/>
      <c r="B9" s="19" t="s">
        <v>32</v>
      </c>
      <c r="C9" s="7" t="s">
        <v>14</v>
      </c>
      <c r="D9" s="9"/>
      <c r="E9" s="11"/>
      <c r="F9" s="5" t="s">
        <v>34</v>
      </c>
      <c r="G9" s="5" t="s">
        <v>35</v>
      </c>
      <c r="H9" s="5" t="s">
        <v>36</v>
      </c>
      <c r="I9" s="13" t="s">
        <v>22</v>
      </c>
      <c r="J9" s="5" t="s">
        <v>50</v>
      </c>
      <c r="K9" s="15"/>
      <c r="L9" s="15"/>
      <c r="M9" s="15"/>
      <c r="N9" s="15"/>
      <c r="O9" s="15"/>
      <c r="P9" s="15"/>
      <c r="Q9" s="15"/>
      <c r="R9" s="15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0">
        <f t="shared" si="1"/>
        <v>0</v>
      </c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"ECONOMUS,CABESP,ALICE SAÚDE,VIVEST,PORTO SEGURO,AMAFRESP"</formula1>
    </dataValidation>
    <dataValidation type="list" allowBlank="1" showErrorMessage="1" sqref="D2:D9">
      <formula1>"NOVO PACIENTE,READMISSÃO,TROCA,INTENSIFICAÇÃO,DESMAME,COBERTURA,REVEZAMENTO"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0"/>
    <col customWidth="1" min="2" max="2" width="41.38"/>
    <col customWidth="1" min="3" max="3" width="15.13"/>
    <col customWidth="1" min="4" max="4" width="18.75"/>
    <col customWidth="1" min="6" max="6" width="26.63"/>
    <col customWidth="1" min="7" max="7" width="30.38"/>
    <col customWidth="1" min="8" max="8" width="15.5"/>
    <col customWidth="1" min="9" max="9" width="15.75"/>
    <col customWidth="1" min="10" max="40" width="3.38"/>
    <col customWidth="1" min="41" max="4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3" t="s">
        <v>10</v>
      </c>
      <c r="B2" s="19" t="s">
        <v>40</v>
      </c>
      <c r="C2" s="7"/>
      <c r="D2" s="9"/>
      <c r="E2" s="11"/>
      <c r="F2" s="5" t="s">
        <v>18</v>
      </c>
      <c r="G2" s="5" t="s">
        <v>41</v>
      </c>
      <c r="H2" s="5" t="s">
        <v>42</v>
      </c>
      <c r="I2" s="13" t="s">
        <v>22</v>
      </c>
      <c r="J2" s="5"/>
      <c r="K2" s="15"/>
      <c r="L2" s="15"/>
      <c r="M2" s="15"/>
      <c r="N2" s="15"/>
      <c r="O2" s="15"/>
      <c r="P2" s="15"/>
      <c r="Q2" s="15"/>
      <c r="R2" s="15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0" t="s">
        <v>52</v>
      </c>
    </row>
    <row r="3">
      <c r="A3" s="36" t="s">
        <v>53</v>
      </c>
      <c r="B3" s="19" t="s">
        <v>54</v>
      </c>
      <c r="C3" s="7"/>
      <c r="D3" s="9"/>
      <c r="E3" s="11"/>
      <c r="F3" s="5" t="s">
        <v>18</v>
      </c>
      <c r="G3" s="37" t="s">
        <v>55</v>
      </c>
      <c r="H3" s="38" t="s">
        <v>56</v>
      </c>
      <c r="I3" s="13" t="s">
        <v>57</v>
      </c>
      <c r="J3" s="5"/>
      <c r="K3" s="15"/>
      <c r="L3" s="15"/>
      <c r="M3" s="15"/>
      <c r="N3" s="15"/>
      <c r="O3" s="15"/>
      <c r="P3" s="15"/>
      <c r="Q3" s="15"/>
      <c r="R3" s="15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0" t="s">
        <v>58</v>
      </c>
    </row>
    <row r="4">
      <c r="A4" s="40" t="s">
        <v>59</v>
      </c>
      <c r="B4" s="19" t="s">
        <v>54</v>
      </c>
      <c r="C4" s="7"/>
      <c r="D4" s="9" t="s">
        <v>43</v>
      </c>
      <c r="E4" s="11">
        <v>46175.0</v>
      </c>
      <c r="F4" s="5" t="s">
        <v>18</v>
      </c>
      <c r="G4" s="37" t="s">
        <v>60</v>
      </c>
      <c r="H4" s="37" t="s">
        <v>61</v>
      </c>
      <c r="I4" s="13" t="s">
        <v>57</v>
      </c>
      <c r="J4" s="5"/>
      <c r="K4" s="15"/>
      <c r="L4" s="15"/>
      <c r="M4" s="15"/>
      <c r="N4" s="15"/>
      <c r="O4" s="15"/>
      <c r="P4" s="15"/>
      <c r="Q4" s="15"/>
      <c r="R4" s="15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0"/>
    </row>
    <row r="5">
      <c r="A5" s="32" t="s">
        <v>33</v>
      </c>
      <c r="B5" s="19" t="s">
        <v>62</v>
      </c>
      <c r="C5" s="7"/>
      <c r="D5" s="9"/>
      <c r="E5" s="11"/>
      <c r="F5" s="5" t="s">
        <v>63</v>
      </c>
      <c r="G5" s="37" t="s">
        <v>64</v>
      </c>
      <c r="H5" s="37" t="s">
        <v>65</v>
      </c>
      <c r="I5" s="13" t="s">
        <v>66</v>
      </c>
      <c r="J5" s="5"/>
      <c r="K5" s="15"/>
      <c r="L5" s="15"/>
      <c r="M5" s="15"/>
      <c r="N5" s="15"/>
      <c r="O5" s="15"/>
      <c r="P5" s="15"/>
      <c r="Q5" s="15"/>
      <c r="R5" s="15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0" t="s">
        <v>71</v>
      </c>
    </row>
    <row r="6">
      <c r="A6" s="45"/>
      <c r="B6" s="19" t="s">
        <v>46</v>
      </c>
      <c r="C6" s="7"/>
      <c r="D6" s="9"/>
      <c r="E6" s="11"/>
      <c r="F6" s="5" t="s">
        <v>18</v>
      </c>
      <c r="G6" s="5" t="s">
        <v>47</v>
      </c>
      <c r="H6" s="5" t="s">
        <v>48</v>
      </c>
      <c r="I6" s="13" t="s">
        <v>22</v>
      </c>
      <c r="J6" s="5"/>
      <c r="K6" s="15"/>
      <c r="L6" s="15"/>
      <c r="M6" s="15"/>
      <c r="N6" s="15"/>
      <c r="O6" s="15"/>
      <c r="P6" s="15"/>
      <c r="Q6" s="15"/>
      <c r="R6" s="15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0" t="s">
        <v>52</v>
      </c>
    </row>
    <row r="7">
      <c r="A7" s="28"/>
      <c r="B7" s="19" t="s">
        <v>73</v>
      </c>
      <c r="C7" s="7"/>
      <c r="D7" s="9"/>
      <c r="E7" s="11"/>
      <c r="F7" s="5" t="s">
        <v>74</v>
      </c>
      <c r="G7" s="47" t="s">
        <v>75</v>
      </c>
      <c r="H7" s="5" t="s">
        <v>76</v>
      </c>
      <c r="I7" s="13" t="s">
        <v>22</v>
      </c>
      <c r="J7" s="5"/>
      <c r="K7" s="15"/>
      <c r="L7" s="15"/>
      <c r="M7" s="15"/>
      <c r="N7" s="15"/>
      <c r="O7" s="15"/>
      <c r="P7" s="15"/>
      <c r="Q7" s="15"/>
      <c r="R7" s="15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35"/>
      <c r="AK7" s="22"/>
      <c r="AL7" s="22"/>
      <c r="AM7" s="22"/>
      <c r="AN7" s="22"/>
      <c r="AO7" s="20" t="s">
        <v>52</v>
      </c>
    </row>
    <row r="8">
      <c r="A8" s="28"/>
      <c r="B8" s="19" t="s">
        <v>73</v>
      </c>
      <c r="C8" s="49"/>
      <c r="D8" s="50" t="s">
        <v>15</v>
      </c>
      <c r="E8" s="51">
        <v>46198.0</v>
      </c>
      <c r="F8" s="35" t="s">
        <v>68</v>
      </c>
      <c r="G8" s="52" t="s">
        <v>77</v>
      </c>
      <c r="H8" s="37" t="s">
        <v>70</v>
      </c>
      <c r="I8" s="53" t="s">
        <v>57</v>
      </c>
      <c r="J8" s="35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55" t="s">
        <v>58</v>
      </c>
    </row>
    <row r="9">
      <c r="A9" s="28"/>
      <c r="B9" s="19" t="s">
        <v>72</v>
      </c>
      <c r="C9" s="7" t="s">
        <v>14</v>
      </c>
      <c r="D9" s="9"/>
      <c r="E9" s="11"/>
      <c r="F9" s="5" t="s">
        <v>18</v>
      </c>
      <c r="G9" s="54" t="s">
        <v>55</v>
      </c>
      <c r="H9" s="37" t="s">
        <v>56</v>
      </c>
      <c r="I9" s="13" t="s">
        <v>22</v>
      </c>
      <c r="J9" s="5"/>
      <c r="K9" s="15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2"/>
      <c r="AI9" s="22"/>
      <c r="AJ9" s="22"/>
      <c r="AK9" s="22"/>
      <c r="AL9" s="22"/>
      <c r="AM9" s="22"/>
      <c r="AN9" s="22"/>
      <c r="AO9" s="20" t="s">
        <v>78</v>
      </c>
    </row>
    <row r="10">
      <c r="A10" s="28"/>
      <c r="B10" s="19" t="s">
        <v>32</v>
      </c>
      <c r="C10" s="7" t="s">
        <v>14</v>
      </c>
      <c r="D10" s="9"/>
      <c r="E10" s="11"/>
      <c r="F10" s="5" t="s">
        <v>34</v>
      </c>
      <c r="G10" s="5" t="s">
        <v>35</v>
      </c>
      <c r="H10" s="5" t="s">
        <v>36</v>
      </c>
      <c r="I10" s="13" t="s">
        <v>22</v>
      </c>
      <c r="J10" s="5"/>
      <c r="K10" s="15"/>
      <c r="L10" s="15"/>
      <c r="M10" s="15"/>
      <c r="N10" s="15"/>
      <c r="O10" s="15"/>
      <c r="P10" s="15"/>
      <c r="Q10" s="15"/>
      <c r="R10" s="15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0" t="s">
        <v>79</v>
      </c>
    </row>
  </sheetData>
  <dataValidations>
    <dataValidation type="list" allowBlank="1" showErrorMessage="1" sqref="I2:I10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0">
      <formula1>"ECONOMUS,CABESP,ALICE SAÚDE,VIVEST,PORTO SEGURO,AMAFRESP"</formula1>
    </dataValidation>
    <dataValidation type="list" allowBlank="1" showErrorMessage="1" sqref="D2:D10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38"/>
    <col customWidth="1" min="2" max="2" width="41.38"/>
    <col customWidth="1" min="3" max="3" width="18.75"/>
    <col customWidth="1" min="5" max="5" width="26.63"/>
    <col customWidth="1" min="6" max="6" width="30.38"/>
    <col customWidth="1" min="7" max="7" width="15.5"/>
    <col customWidth="1" min="8" max="8" width="15.75"/>
    <col customWidth="1" min="9" max="39" width="4.63"/>
    <col customWidth="1" min="40" max="42" width="10.0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9</v>
      </c>
      <c r="AO1" s="56" t="s">
        <v>80</v>
      </c>
      <c r="AP1" s="56" t="s">
        <v>81</v>
      </c>
    </row>
    <row r="2">
      <c r="A2" s="57" t="s">
        <v>33</v>
      </c>
      <c r="B2" s="19" t="s">
        <v>40</v>
      </c>
      <c r="C2" s="9"/>
      <c r="D2" s="11"/>
      <c r="E2" s="5" t="s">
        <v>18</v>
      </c>
      <c r="F2" s="5" t="s">
        <v>41</v>
      </c>
      <c r="G2" s="5" t="s">
        <v>42</v>
      </c>
      <c r="H2" s="13" t="s">
        <v>22</v>
      </c>
      <c r="I2" s="43">
        <v>1.0</v>
      </c>
      <c r="J2" s="59"/>
      <c r="K2" s="43">
        <v>1.0</v>
      </c>
      <c r="L2" s="59"/>
      <c r="M2" s="59"/>
      <c r="N2" s="59"/>
      <c r="O2" s="59"/>
      <c r="P2" s="43">
        <v>1.0</v>
      </c>
      <c r="Q2" s="43">
        <v>1.0</v>
      </c>
      <c r="R2" s="58"/>
      <c r="S2" s="58"/>
      <c r="T2" s="58"/>
      <c r="U2" s="19">
        <v>1.0</v>
      </c>
      <c r="V2" s="58"/>
      <c r="W2" s="58"/>
      <c r="X2" s="58"/>
      <c r="Y2" s="19">
        <v>1.0</v>
      </c>
      <c r="Z2" s="58"/>
      <c r="AA2" s="58"/>
      <c r="AB2" s="60"/>
      <c r="AC2" s="60"/>
      <c r="AD2" s="60"/>
      <c r="AE2" s="60"/>
      <c r="AF2" s="62"/>
      <c r="AG2" s="19"/>
      <c r="AH2" s="19"/>
      <c r="AI2" s="19"/>
      <c r="AJ2" s="19"/>
      <c r="AK2" s="19"/>
      <c r="AL2" s="19"/>
      <c r="AM2" s="58"/>
      <c r="AN2" s="20">
        <f t="shared" ref="AN2:AN10" si="1">SUM(I2:AM2)</f>
        <v>6</v>
      </c>
      <c r="AO2" s="20" t="s">
        <v>50</v>
      </c>
      <c r="AP2" s="20" t="s">
        <v>50</v>
      </c>
    </row>
    <row r="3">
      <c r="A3" s="61" t="s">
        <v>10</v>
      </c>
      <c r="B3" s="19" t="s">
        <v>54</v>
      </c>
      <c r="C3" s="9"/>
      <c r="D3" s="11"/>
      <c r="E3" s="5" t="s">
        <v>18</v>
      </c>
      <c r="F3" s="37" t="s">
        <v>60</v>
      </c>
      <c r="G3" s="37" t="s">
        <v>61</v>
      </c>
      <c r="H3" s="13" t="s">
        <v>57</v>
      </c>
      <c r="I3" s="43"/>
      <c r="J3" s="59"/>
      <c r="K3" s="59"/>
      <c r="L3" s="59"/>
      <c r="M3" s="59"/>
      <c r="N3" s="59"/>
      <c r="O3" s="43">
        <v>1.0</v>
      </c>
      <c r="P3" s="43">
        <v>1.0</v>
      </c>
      <c r="Q3" s="59"/>
      <c r="R3" s="19">
        <v>1.0</v>
      </c>
      <c r="S3" s="58"/>
      <c r="T3" s="58"/>
      <c r="U3" s="58"/>
      <c r="V3" s="58"/>
      <c r="W3" s="19">
        <v>1.0</v>
      </c>
      <c r="X3" s="58"/>
      <c r="Y3" s="58"/>
      <c r="Z3" s="58"/>
      <c r="AA3" s="58"/>
      <c r="AB3" s="58"/>
      <c r="AC3" s="19">
        <v>1.0</v>
      </c>
      <c r="AD3" s="58"/>
      <c r="AE3" s="58"/>
      <c r="AF3" s="58"/>
      <c r="AG3" s="58"/>
      <c r="AH3" s="58"/>
      <c r="AI3" s="58"/>
      <c r="AJ3" s="19">
        <v>1.0</v>
      </c>
      <c r="AK3" s="58"/>
      <c r="AL3" s="19">
        <v>1.0</v>
      </c>
      <c r="AM3" s="58"/>
      <c r="AN3" s="20">
        <f t="shared" si="1"/>
        <v>7</v>
      </c>
      <c r="AO3" s="55" t="s">
        <v>85</v>
      </c>
      <c r="AP3" s="20" t="s">
        <v>50</v>
      </c>
    </row>
    <row r="4">
      <c r="A4" s="63">
        <f>++++++++++++++++++++++++++++++++++++++++++++++6</f>
        <v>6</v>
      </c>
      <c r="B4" s="19" t="s">
        <v>82</v>
      </c>
      <c r="C4" s="9" t="s">
        <v>15</v>
      </c>
      <c r="D4" s="11">
        <v>46218.0</v>
      </c>
      <c r="E4" s="5" t="s">
        <v>18</v>
      </c>
      <c r="F4" s="4" t="s">
        <v>83</v>
      </c>
      <c r="G4" s="4" t="s">
        <v>84</v>
      </c>
      <c r="H4" s="13" t="s">
        <v>57</v>
      </c>
      <c r="I4" s="43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20">
        <f t="shared" si="1"/>
        <v>0</v>
      </c>
      <c r="AO4" s="64"/>
      <c r="AP4" s="64"/>
    </row>
    <row r="5">
      <c r="A5" s="18" t="s">
        <v>24</v>
      </c>
      <c r="B5" s="19" t="s">
        <v>62</v>
      </c>
      <c r="C5" s="9"/>
      <c r="D5" s="11"/>
      <c r="E5" s="5" t="s">
        <v>63</v>
      </c>
      <c r="F5" s="37" t="s">
        <v>64</v>
      </c>
      <c r="G5" s="37" t="s">
        <v>65</v>
      </c>
      <c r="H5" s="13" t="s">
        <v>66</v>
      </c>
      <c r="I5" s="43"/>
      <c r="J5" s="58"/>
      <c r="K5" s="19">
        <v>1.0</v>
      </c>
      <c r="L5" s="19">
        <v>1.0</v>
      </c>
      <c r="M5" s="19">
        <v>1.0</v>
      </c>
      <c r="N5" s="19">
        <v>1.0</v>
      </c>
      <c r="O5" s="19">
        <v>1.0</v>
      </c>
      <c r="P5" s="58"/>
      <c r="Q5" s="58"/>
      <c r="R5" s="19">
        <v>1.0</v>
      </c>
      <c r="S5" s="19">
        <v>1.0</v>
      </c>
      <c r="T5" s="19">
        <v>1.0</v>
      </c>
      <c r="U5" s="19">
        <v>1.0</v>
      </c>
      <c r="V5" s="19">
        <v>1.0</v>
      </c>
      <c r="W5" s="58"/>
      <c r="X5" s="58"/>
      <c r="Y5" s="19">
        <v>1.0</v>
      </c>
      <c r="Z5" s="19">
        <v>1.0</v>
      </c>
      <c r="AA5" s="19">
        <v>1.0</v>
      </c>
      <c r="AB5" s="19">
        <v>1.0</v>
      </c>
      <c r="AC5" s="19">
        <v>1.0</v>
      </c>
      <c r="AD5" s="58"/>
      <c r="AE5" s="58"/>
      <c r="AF5" s="19">
        <v>1.0</v>
      </c>
      <c r="AG5" s="19">
        <v>1.0</v>
      </c>
      <c r="AH5" s="19">
        <v>1.0</v>
      </c>
      <c r="AI5" s="19">
        <v>1.0</v>
      </c>
      <c r="AJ5" s="19">
        <v>1.0</v>
      </c>
      <c r="AK5" s="58"/>
      <c r="AL5" s="58"/>
      <c r="AM5" s="19">
        <v>1.0</v>
      </c>
      <c r="AN5" s="20">
        <f t="shared" si="1"/>
        <v>21</v>
      </c>
      <c r="AO5" s="20" t="s">
        <v>50</v>
      </c>
      <c r="AP5" s="20" t="s">
        <v>50</v>
      </c>
    </row>
    <row r="6">
      <c r="B6" s="19" t="s">
        <v>46</v>
      </c>
      <c r="C6" s="9"/>
      <c r="D6" s="11"/>
      <c r="E6" s="5" t="s">
        <v>18</v>
      </c>
      <c r="F6" s="5" t="s">
        <v>47</v>
      </c>
      <c r="G6" s="5" t="s">
        <v>48</v>
      </c>
      <c r="H6" s="13" t="s">
        <v>22</v>
      </c>
      <c r="I6" s="43">
        <v>1.0</v>
      </c>
      <c r="J6" s="19">
        <v>1.0</v>
      </c>
      <c r="K6" s="58"/>
      <c r="L6" s="58"/>
      <c r="M6" s="58"/>
      <c r="N6" s="58"/>
      <c r="O6" s="19">
        <v>1.0</v>
      </c>
      <c r="P6" s="19">
        <v>1.0</v>
      </c>
      <c r="Q6" s="58"/>
      <c r="R6" s="58"/>
      <c r="S6" s="58"/>
      <c r="T6" s="58"/>
      <c r="U6" s="58"/>
      <c r="V6" s="19">
        <v>1.0</v>
      </c>
      <c r="W6" s="19">
        <v>1.0</v>
      </c>
      <c r="X6" s="58"/>
      <c r="Y6" s="58"/>
      <c r="Z6" s="58"/>
      <c r="AA6" s="58"/>
      <c r="AB6" s="58"/>
      <c r="AC6" s="19">
        <v>1.0</v>
      </c>
      <c r="AD6" s="19">
        <v>1.0</v>
      </c>
      <c r="AE6" s="19">
        <v>1.0</v>
      </c>
      <c r="AF6" s="19"/>
      <c r="AG6" s="19"/>
      <c r="AH6" s="19"/>
      <c r="AI6" s="19"/>
      <c r="AJ6" s="19"/>
      <c r="AK6" s="19">
        <v>1.0</v>
      </c>
      <c r="AL6" s="19"/>
      <c r="AM6" s="19"/>
      <c r="AN6" s="20">
        <f t="shared" si="1"/>
        <v>10</v>
      </c>
      <c r="AO6" s="20" t="s">
        <v>50</v>
      </c>
      <c r="AP6" s="20" t="s">
        <v>50</v>
      </c>
    </row>
    <row r="7">
      <c r="A7" s="28"/>
      <c r="B7" s="19" t="s">
        <v>73</v>
      </c>
      <c r="C7" s="9"/>
      <c r="D7" s="11"/>
      <c r="E7" s="5" t="s">
        <v>74</v>
      </c>
      <c r="F7" s="47" t="s">
        <v>75</v>
      </c>
      <c r="G7" s="5" t="s">
        <v>76</v>
      </c>
      <c r="H7" s="13" t="s">
        <v>22</v>
      </c>
      <c r="I7" s="43"/>
      <c r="J7" s="19">
        <v>1.0</v>
      </c>
      <c r="K7" s="58"/>
      <c r="L7" s="58"/>
      <c r="M7" s="58"/>
      <c r="N7" s="58"/>
      <c r="O7" s="19">
        <v>1.0</v>
      </c>
      <c r="P7" s="58"/>
      <c r="Q7" s="19">
        <v>1.0</v>
      </c>
      <c r="R7" s="58"/>
      <c r="S7" s="58"/>
      <c r="T7" s="58"/>
      <c r="U7" s="58"/>
      <c r="V7" s="19">
        <v>1.0</v>
      </c>
      <c r="W7" s="58"/>
      <c r="X7" s="19">
        <v>1.0</v>
      </c>
      <c r="Y7" s="58"/>
      <c r="Z7" s="58"/>
      <c r="AA7" s="58"/>
      <c r="AB7" s="58"/>
      <c r="AC7" s="19">
        <v>1.0</v>
      </c>
      <c r="AD7" s="58"/>
      <c r="AE7" s="19">
        <v>1.0</v>
      </c>
      <c r="AF7" s="58"/>
      <c r="AG7" s="58"/>
      <c r="AH7" s="58"/>
      <c r="AI7" s="19"/>
      <c r="AJ7" s="19">
        <v>1.0</v>
      </c>
      <c r="AK7" s="58"/>
      <c r="AL7" s="19">
        <v>1.0</v>
      </c>
      <c r="AM7" s="58"/>
      <c r="AN7" s="20">
        <f t="shared" si="1"/>
        <v>9</v>
      </c>
      <c r="AO7" s="20" t="s">
        <v>50</v>
      </c>
      <c r="AP7" s="20" t="s">
        <v>50</v>
      </c>
    </row>
    <row r="8">
      <c r="A8" s="28"/>
      <c r="B8" s="65" t="s">
        <v>73</v>
      </c>
      <c r="C8" s="50"/>
      <c r="D8" s="51"/>
      <c r="E8" s="35" t="s">
        <v>68</v>
      </c>
      <c r="F8" s="52" t="s">
        <v>77</v>
      </c>
      <c r="G8" s="37" t="s">
        <v>70</v>
      </c>
      <c r="H8" s="53" t="s">
        <v>57</v>
      </c>
      <c r="I8" s="19"/>
      <c r="J8" s="58"/>
      <c r="K8" s="58"/>
      <c r="L8" s="58"/>
      <c r="M8" s="58"/>
      <c r="N8" s="19">
        <v>1.0</v>
      </c>
      <c r="O8" s="58"/>
      <c r="P8" s="58"/>
      <c r="Q8" s="58"/>
      <c r="R8" s="58"/>
      <c r="S8" s="58"/>
      <c r="T8" s="58"/>
      <c r="U8" s="58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20">
        <f t="shared" si="1"/>
        <v>1</v>
      </c>
      <c r="AO8" s="20" t="s">
        <v>50</v>
      </c>
      <c r="AP8" s="20" t="s">
        <v>50</v>
      </c>
    </row>
    <row r="9">
      <c r="A9" s="28"/>
      <c r="B9" s="19" t="s">
        <v>72</v>
      </c>
      <c r="C9" s="9"/>
      <c r="D9" s="11"/>
      <c r="E9" s="5" t="s">
        <v>18</v>
      </c>
      <c r="F9" s="54" t="s">
        <v>55</v>
      </c>
      <c r="G9" s="37" t="s">
        <v>56</v>
      </c>
      <c r="H9" s="13" t="s">
        <v>22</v>
      </c>
      <c r="I9" s="43"/>
      <c r="J9" s="58"/>
      <c r="K9" s="19">
        <v>1.0</v>
      </c>
      <c r="L9" s="58"/>
      <c r="M9" s="58"/>
      <c r="N9" s="58"/>
      <c r="O9" s="58"/>
      <c r="P9" s="19">
        <v>1.0</v>
      </c>
      <c r="Q9" s="58"/>
      <c r="R9" s="19">
        <v>1.0</v>
      </c>
      <c r="S9" s="58"/>
      <c r="T9" s="58"/>
      <c r="U9" s="58"/>
      <c r="V9" s="58"/>
      <c r="W9" s="19">
        <v>1.0</v>
      </c>
      <c r="X9" s="58"/>
      <c r="Y9" s="19">
        <v>1.0</v>
      </c>
      <c r="Z9" s="19"/>
      <c r="AA9" s="19"/>
      <c r="AB9" s="19"/>
      <c r="AC9" s="19"/>
      <c r="AD9" s="19">
        <v>1.0</v>
      </c>
      <c r="AE9" s="19"/>
      <c r="AF9" s="19">
        <v>1.0</v>
      </c>
      <c r="AG9" s="58"/>
      <c r="AH9" s="58"/>
      <c r="AI9" s="58"/>
      <c r="AJ9" s="58"/>
      <c r="AK9" s="19">
        <v>1.0</v>
      </c>
      <c r="AL9" s="19">
        <v>1.0</v>
      </c>
      <c r="AM9" s="58"/>
      <c r="AN9" s="20">
        <f t="shared" si="1"/>
        <v>9</v>
      </c>
      <c r="AO9" s="20" t="s">
        <v>50</v>
      </c>
      <c r="AP9" s="20" t="s">
        <v>50</v>
      </c>
    </row>
    <row r="10">
      <c r="A10" s="28"/>
      <c r="B10" s="19" t="s">
        <v>32</v>
      </c>
      <c r="C10" s="9"/>
      <c r="D10" s="11"/>
      <c r="E10" s="5" t="s">
        <v>34</v>
      </c>
      <c r="F10" s="5" t="s">
        <v>35</v>
      </c>
      <c r="G10" s="5" t="s">
        <v>36</v>
      </c>
      <c r="H10" s="13" t="s">
        <v>22</v>
      </c>
      <c r="I10" s="43"/>
      <c r="J10" s="19">
        <v>1.0</v>
      </c>
      <c r="K10" s="19">
        <v>1.0</v>
      </c>
      <c r="L10" s="58"/>
      <c r="M10" s="58"/>
      <c r="N10" s="58"/>
      <c r="O10" s="19">
        <v>1.0</v>
      </c>
      <c r="P10" s="58"/>
      <c r="Q10" s="58"/>
      <c r="R10" s="58"/>
      <c r="S10" s="58"/>
      <c r="T10" s="58"/>
      <c r="U10" s="58"/>
      <c r="V10" s="19">
        <v>1.0</v>
      </c>
      <c r="W10" s="58"/>
      <c r="X10" s="19">
        <v>1.0</v>
      </c>
      <c r="Y10" s="58"/>
      <c r="Z10" s="58"/>
      <c r="AA10" s="58"/>
      <c r="AB10" s="58"/>
      <c r="AC10" s="19">
        <v>1.0</v>
      </c>
      <c r="AD10" s="58"/>
      <c r="AE10" s="19">
        <v>1.0</v>
      </c>
      <c r="AF10" s="58"/>
      <c r="AG10" s="58"/>
      <c r="AH10" s="58"/>
      <c r="AI10" s="58"/>
      <c r="AJ10" s="19">
        <v>1.0</v>
      </c>
      <c r="AK10" s="58"/>
      <c r="AL10" s="19">
        <v>1.0</v>
      </c>
      <c r="AM10" s="58"/>
      <c r="AN10" s="20">
        <f t="shared" si="1"/>
        <v>9</v>
      </c>
      <c r="AO10" s="20" t="s">
        <v>50</v>
      </c>
      <c r="AP10" s="20" t="s">
        <v>50</v>
      </c>
    </row>
  </sheetData>
  <dataValidations>
    <dataValidation type="list" allowBlank="1" showErrorMessage="1" sqref="H2:H10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0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38"/>
    <col customWidth="1" min="2" max="2" width="41.38"/>
    <col customWidth="1" min="3" max="3" width="18.75"/>
    <col customWidth="1" min="5" max="5" width="26.63"/>
    <col customWidth="1" min="6" max="6" width="30.38"/>
    <col customWidth="1" min="7" max="7" width="15.5"/>
    <col customWidth="1" min="8" max="8" width="15.75"/>
    <col customWidth="1" min="9" max="39" width="4.63"/>
    <col customWidth="1" min="40" max="42" width="10.0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9</v>
      </c>
      <c r="AO1" s="56" t="s">
        <v>80</v>
      </c>
      <c r="AP1" s="56" t="s">
        <v>81</v>
      </c>
    </row>
    <row r="2">
      <c r="A2" s="57" t="s">
        <v>33</v>
      </c>
      <c r="B2" s="19" t="s">
        <v>40</v>
      </c>
      <c r="C2" s="9"/>
      <c r="D2" s="11"/>
      <c r="E2" s="5" t="s">
        <v>18</v>
      </c>
      <c r="F2" s="5" t="s">
        <v>41</v>
      </c>
      <c r="G2" s="5" t="s">
        <v>42</v>
      </c>
      <c r="H2" s="13" t="s">
        <v>22</v>
      </c>
      <c r="I2" s="19"/>
      <c r="J2" s="58"/>
      <c r="K2" s="19"/>
      <c r="L2" s="58"/>
      <c r="M2" s="58"/>
      <c r="N2" s="58"/>
      <c r="O2" s="58"/>
      <c r="P2" s="19"/>
      <c r="Q2" s="19"/>
      <c r="R2" s="58"/>
      <c r="S2" s="58"/>
      <c r="T2" s="58"/>
      <c r="U2" s="19"/>
      <c r="V2" s="58"/>
      <c r="W2" s="58"/>
      <c r="X2" s="58"/>
      <c r="Y2" s="19"/>
      <c r="Z2" s="58"/>
      <c r="AA2" s="58"/>
      <c r="AB2" s="58"/>
      <c r="AC2" s="58"/>
      <c r="AD2" s="58"/>
      <c r="AE2" s="58"/>
      <c r="AF2" s="19"/>
      <c r="AG2" s="19"/>
      <c r="AH2" s="19"/>
      <c r="AI2" s="19"/>
      <c r="AJ2" s="19"/>
      <c r="AK2" s="19"/>
      <c r="AL2" s="19"/>
      <c r="AM2" s="58"/>
      <c r="AN2" s="20">
        <f t="shared" ref="AN2:AN9" si="1">SUM(I2:AM2)</f>
        <v>0</v>
      </c>
      <c r="AO2" s="20"/>
      <c r="AP2" s="20"/>
    </row>
    <row r="3">
      <c r="A3" s="61" t="s">
        <v>10</v>
      </c>
      <c r="B3" s="19" t="s">
        <v>54</v>
      </c>
      <c r="C3" s="9"/>
      <c r="D3" s="11"/>
      <c r="E3" s="5" t="s">
        <v>18</v>
      </c>
      <c r="F3" s="37" t="s">
        <v>60</v>
      </c>
      <c r="G3" s="37" t="s">
        <v>61</v>
      </c>
      <c r="H3" s="13" t="s">
        <v>57</v>
      </c>
      <c r="I3" s="19"/>
      <c r="J3" s="58"/>
      <c r="K3" s="58"/>
      <c r="L3" s="58"/>
      <c r="M3" s="58"/>
      <c r="N3" s="58"/>
      <c r="O3" s="19"/>
      <c r="P3" s="19"/>
      <c r="Q3" s="58"/>
      <c r="R3" s="19"/>
      <c r="S3" s="58"/>
      <c r="T3" s="58"/>
      <c r="U3" s="58"/>
      <c r="V3" s="58"/>
      <c r="W3" s="19"/>
      <c r="X3" s="58"/>
      <c r="Y3" s="58"/>
      <c r="Z3" s="58"/>
      <c r="AA3" s="58"/>
      <c r="AB3" s="58"/>
      <c r="AC3" s="19"/>
      <c r="AD3" s="58"/>
      <c r="AE3" s="58"/>
      <c r="AF3" s="58"/>
      <c r="AG3" s="58"/>
      <c r="AH3" s="58"/>
      <c r="AI3" s="58"/>
      <c r="AJ3" s="19"/>
      <c r="AK3" s="58"/>
      <c r="AL3" s="19"/>
      <c r="AM3" s="58"/>
      <c r="AN3" s="20">
        <f t="shared" si="1"/>
        <v>0</v>
      </c>
      <c r="AO3" s="20"/>
      <c r="AP3" s="20"/>
    </row>
    <row r="4">
      <c r="A4" s="63" t="s">
        <v>30</v>
      </c>
      <c r="B4" s="19" t="s">
        <v>82</v>
      </c>
      <c r="C4" s="9"/>
      <c r="D4" s="11"/>
      <c r="E4" s="5" t="s">
        <v>18</v>
      </c>
      <c r="F4" s="4" t="s">
        <v>83</v>
      </c>
      <c r="G4" s="4" t="s">
        <v>84</v>
      </c>
      <c r="H4" s="13" t="s">
        <v>57</v>
      </c>
      <c r="I4" s="19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20">
        <f t="shared" si="1"/>
        <v>0</v>
      </c>
      <c r="AO4" s="20"/>
      <c r="AP4" s="20"/>
    </row>
    <row r="5">
      <c r="A5" s="18" t="s">
        <v>24</v>
      </c>
      <c r="B5" s="19" t="s">
        <v>62</v>
      </c>
      <c r="C5" s="9"/>
      <c r="D5" s="11"/>
      <c r="E5" s="5" t="s">
        <v>63</v>
      </c>
      <c r="F5" s="37" t="s">
        <v>64</v>
      </c>
      <c r="G5" s="37" t="s">
        <v>65</v>
      </c>
      <c r="H5" s="13" t="s">
        <v>66</v>
      </c>
      <c r="I5" s="19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20">
        <f t="shared" si="1"/>
        <v>0</v>
      </c>
      <c r="AO5" s="20"/>
      <c r="AP5" s="20"/>
    </row>
    <row r="6">
      <c r="B6" s="19" t="s">
        <v>46</v>
      </c>
      <c r="C6" s="9"/>
      <c r="D6" s="11"/>
      <c r="E6" s="5" t="s">
        <v>18</v>
      </c>
      <c r="F6" s="5" t="s">
        <v>47</v>
      </c>
      <c r="G6" s="5" t="s">
        <v>48</v>
      </c>
      <c r="H6" s="13" t="s">
        <v>22</v>
      </c>
      <c r="I6" s="19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19"/>
      <c r="AG6" s="19"/>
      <c r="AH6" s="19"/>
      <c r="AI6" s="19"/>
      <c r="AJ6" s="19"/>
      <c r="AK6" s="19"/>
      <c r="AL6" s="19"/>
      <c r="AM6" s="19"/>
      <c r="AN6" s="20">
        <f t="shared" si="1"/>
        <v>0</v>
      </c>
      <c r="AO6" s="20"/>
      <c r="AP6" s="20"/>
    </row>
    <row r="7">
      <c r="A7" s="28"/>
      <c r="B7" s="19" t="s">
        <v>73</v>
      </c>
      <c r="C7" s="9"/>
      <c r="D7" s="11"/>
      <c r="E7" s="5" t="s">
        <v>74</v>
      </c>
      <c r="F7" s="47" t="s">
        <v>75</v>
      </c>
      <c r="G7" s="5" t="s">
        <v>76</v>
      </c>
      <c r="H7" s="13" t="s">
        <v>22</v>
      </c>
      <c r="I7" s="19"/>
      <c r="J7" s="19"/>
      <c r="K7" s="58"/>
      <c r="L7" s="58"/>
      <c r="M7" s="58"/>
      <c r="N7" s="58"/>
      <c r="O7" s="19"/>
      <c r="P7" s="58"/>
      <c r="Q7" s="19"/>
      <c r="R7" s="58"/>
      <c r="S7" s="58"/>
      <c r="T7" s="58"/>
      <c r="U7" s="58"/>
      <c r="V7" s="19"/>
      <c r="W7" s="58"/>
      <c r="X7" s="19"/>
      <c r="Y7" s="58"/>
      <c r="Z7" s="58"/>
      <c r="AA7" s="58"/>
      <c r="AB7" s="58"/>
      <c r="AC7" s="19"/>
      <c r="AD7" s="58"/>
      <c r="AE7" s="19"/>
      <c r="AF7" s="58"/>
      <c r="AG7" s="58"/>
      <c r="AH7" s="58"/>
      <c r="AI7" s="19"/>
      <c r="AJ7" s="19"/>
      <c r="AK7" s="58"/>
      <c r="AL7" s="19"/>
      <c r="AM7" s="58"/>
      <c r="AN7" s="20">
        <f t="shared" si="1"/>
        <v>0</v>
      </c>
      <c r="AO7" s="20"/>
      <c r="AP7" s="20"/>
    </row>
    <row r="8">
      <c r="A8" s="28"/>
      <c r="B8" s="19" t="s">
        <v>72</v>
      </c>
      <c r="C8" s="9"/>
      <c r="D8" s="11"/>
      <c r="E8" s="5" t="s">
        <v>18</v>
      </c>
      <c r="F8" s="54" t="s">
        <v>55</v>
      </c>
      <c r="G8" s="37" t="s">
        <v>56</v>
      </c>
      <c r="H8" s="13" t="s">
        <v>22</v>
      </c>
      <c r="I8" s="19"/>
      <c r="J8" s="58"/>
      <c r="K8" s="19"/>
      <c r="L8" s="58"/>
      <c r="M8" s="58"/>
      <c r="N8" s="58"/>
      <c r="O8" s="58"/>
      <c r="P8" s="19"/>
      <c r="Q8" s="58"/>
      <c r="R8" s="19"/>
      <c r="S8" s="58"/>
      <c r="T8" s="58"/>
      <c r="U8" s="58"/>
      <c r="V8" s="58"/>
      <c r="W8" s="19"/>
      <c r="X8" s="58"/>
      <c r="Y8" s="19"/>
      <c r="Z8" s="19"/>
      <c r="AA8" s="19"/>
      <c r="AB8" s="19"/>
      <c r="AC8" s="19"/>
      <c r="AD8" s="19"/>
      <c r="AE8" s="19"/>
      <c r="AF8" s="19"/>
      <c r="AG8" s="58"/>
      <c r="AH8" s="58"/>
      <c r="AI8" s="58"/>
      <c r="AJ8" s="58"/>
      <c r="AK8" s="19"/>
      <c r="AL8" s="19"/>
      <c r="AM8" s="58"/>
      <c r="AN8" s="20">
        <f t="shared" si="1"/>
        <v>0</v>
      </c>
      <c r="AO8" s="20"/>
      <c r="AP8" s="20"/>
    </row>
    <row r="9">
      <c r="A9" s="28"/>
      <c r="B9" s="19" t="s">
        <v>32</v>
      </c>
      <c r="C9" s="9"/>
      <c r="D9" s="11"/>
      <c r="E9" s="5" t="s">
        <v>34</v>
      </c>
      <c r="F9" s="5" t="s">
        <v>35</v>
      </c>
      <c r="G9" s="5" t="s">
        <v>36</v>
      </c>
      <c r="H9" s="13" t="s">
        <v>22</v>
      </c>
      <c r="I9" s="19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20">
        <f t="shared" si="1"/>
        <v>0</v>
      </c>
      <c r="AO9" s="20"/>
      <c r="AP9" s="20"/>
    </row>
  </sheetData>
  <dataValidations>
    <dataValidation type="list" allowBlank="1" showErrorMessage="1" sqref="H2:H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