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FEVEREIRO26" sheetId="1" r:id="rId5"/>
    <sheet state="hidden" name="MARÇO26" sheetId="2" r:id="rId6"/>
    <sheet state="hidden" name="ABRIL26" sheetId="3" r:id="rId7"/>
    <sheet state="hidden" name="MAIO26" sheetId="4" r:id="rId8"/>
    <sheet state="hidden" name="JUNHO26" sheetId="5" r:id="rId9"/>
    <sheet state="visible" name="JULHO26" sheetId="6" r:id="rId10"/>
    <sheet state="visible" name="AGOSTO26" sheetId="7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I3">
      <text>
        <t xml:space="preserve">readmissão 26/03</t>
      </text>
    </comment>
  </commentList>
</comments>
</file>

<file path=xl/sharedStrings.xml><?xml version="1.0" encoding="utf-8"?>
<sst xmlns="http://schemas.openxmlformats.org/spreadsheetml/2006/main" count="154" uniqueCount="33">
  <si>
    <t xml:space="preserve">STATUS </t>
  </si>
  <si>
    <t>PACIENTES</t>
  </si>
  <si>
    <t>CONVÊNIO</t>
  </si>
  <si>
    <t>MOTIVO</t>
  </si>
  <si>
    <t>DATA</t>
  </si>
  <si>
    <t xml:space="preserve">CIDADE </t>
  </si>
  <si>
    <t>PROFISSIONAIS</t>
  </si>
  <si>
    <t>TELEFONE</t>
  </si>
  <si>
    <t>PAD</t>
  </si>
  <si>
    <t>TOTAL</t>
  </si>
  <si>
    <t>INTERNAÇÃO</t>
  </si>
  <si>
    <t>GILBERTO MOREIRA PIRES</t>
  </si>
  <si>
    <t>ANTONIO BUENO DE CAMARGO</t>
  </si>
  <si>
    <t>INTENSIFICAÇÃO</t>
  </si>
  <si>
    <t>ECONOMUS</t>
  </si>
  <si>
    <t xml:space="preserve">ATIBAIA </t>
  </si>
  <si>
    <t>Olsen Antônio Barg Júnior</t>
  </si>
  <si>
    <t>19 98253-5961</t>
  </si>
  <si>
    <t>NOVO PACIENTE</t>
  </si>
  <si>
    <t xml:space="preserve"> JOANOPOLIS</t>
  </si>
  <si>
    <t xml:space="preserve">2X/MÊS </t>
  </si>
  <si>
    <t>Hugo Jaime Rodriguez Alvarez </t>
  </si>
  <si>
    <t> 11 93305-7934</t>
  </si>
  <si>
    <t>11 93305-7934</t>
  </si>
  <si>
    <t>1X/MÊS</t>
  </si>
  <si>
    <t>OK</t>
  </si>
  <si>
    <t>ÓBITO</t>
  </si>
  <si>
    <t>ALTA</t>
  </si>
  <si>
    <t xml:space="preserve">PENDENCIA </t>
  </si>
  <si>
    <t>PENDENCIA</t>
  </si>
  <si>
    <t>FP</t>
  </si>
  <si>
    <t>REL</t>
  </si>
  <si>
    <t>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</si>
</sst>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2">
    <font>
      <sz val="10.0"/>
      <color rgb="FF000000"/>
      <name val="Arial"/>
      <scheme val="minor"/>
    </font>
    <font>
      <b/>
      <sz val="12.0"/>
      <color rgb="FFFFFFFF"/>
      <name val="Calibri"/>
    </font>
    <font>
      <b/>
      <color theme="1"/>
      <name val="Calibri"/>
    </font>
    <font>
      <color rgb="FF000000"/>
      <name val="Arial"/>
    </font>
    <font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b/>
      <sz val="11.0"/>
      <color rgb="FFFFFFFF"/>
      <name val="Calibri"/>
    </font>
    <font>
      <sz val="12.0"/>
      <color rgb="FF242424"/>
      <name val="Calibri"/>
    </font>
    <font>
      <b/>
      <color rgb="FFFFFFFF"/>
      <name val="Calibri"/>
    </font>
    <font>
      <b/>
      <color rgb="FF000000"/>
      <name val="Calibri"/>
    </font>
    <font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339966"/>
        <bgColor rgb="FF339966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9900FF"/>
        <bgColor rgb="FF9900FF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1" fillId="2" fontId="1" numFmtId="0" xfId="0" applyAlignment="1" applyBorder="1" applyFont="1">
      <alignment horizontal="center" vertical="bottom"/>
    </xf>
    <xf borderId="1" fillId="3" fontId="2" numFmtId="49" xfId="0" applyAlignment="1" applyBorder="1" applyFill="1" applyFont="1" applyNumberFormat="1">
      <alignment horizontal="center" readingOrder="0" vertical="bottom"/>
    </xf>
    <xf borderId="1" fillId="4" fontId="3" numFmtId="0" xfId="0" applyAlignment="1" applyBorder="1" applyFill="1" applyFont="1">
      <alignment horizontal="center" readingOrder="0" vertical="bottom"/>
    </xf>
    <xf borderId="1" fillId="0" fontId="4" numFmtId="0" xfId="0" applyAlignment="1" applyBorder="1" applyFont="1">
      <alignment vertical="bottom"/>
    </xf>
    <xf borderId="1" fillId="3" fontId="5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center" readingOrder="0" vertical="bottom"/>
    </xf>
    <xf borderId="2" fillId="0" fontId="2" numFmtId="49" xfId="0" applyAlignment="1" applyBorder="1" applyFont="1" applyNumberFormat="1">
      <alignment horizontal="center" readingOrder="0" vertical="bottom"/>
    </xf>
    <xf borderId="1" fillId="3" fontId="7" numFmtId="0" xfId="0" applyAlignment="1" applyBorder="1" applyFont="1">
      <alignment horizontal="center" readingOrder="0" vertical="bottom"/>
    </xf>
    <xf borderId="1" fillId="0" fontId="4" numFmtId="164" xfId="0" applyAlignment="1" applyBorder="1" applyFont="1" applyNumberFormat="1">
      <alignment horizontal="center" readingOrder="0" vertical="bottom"/>
    </xf>
    <xf borderId="1" fillId="0" fontId="6" numFmtId="49" xfId="0" applyAlignment="1" applyBorder="1" applyFont="1" applyNumberFormat="1">
      <alignment horizontal="center" readingOrder="0" vertical="bottom"/>
    </xf>
    <xf borderId="1" fillId="0" fontId="4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readingOrder="0" vertical="bottom"/>
    </xf>
    <xf borderId="1" fillId="0" fontId="6" numFmtId="164" xfId="0" applyAlignment="1" applyBorder="1" applyFont="1" applyNumberFormat="1">
      <alignment horizontal="center" readingOrder="0" vertical="bottom"/>
    </xf>
    <xf borderId="2" fillId="0" fontId="6" numFmtId="49" xfId="0" applyAlignment="1" applyBorder="1" applyFont="1" applyNumberFormat="1">
      <alignment horizontal="center" readingOrder="0" vertical="bottom"/>
    </xf>
    <xf borderId="0" fillId="4" fontId="8" numFmtId="0" xfId="0" applyAlignment="1" applyFont="1">
      <alignment horizontal="left" readingOrder="0"/>
    </xf>
    <xf borderId="1" fillId="5" fontId="2" numFmtId="0" xfId="0" applyAlignment="1" applyBorder="1" applyFill="1" applyFont="1">
      <alignment horizontal="center" readingOrder="0" vertical="bottom"/>
    </xf>
    <xf borderId="0" fillId="0" fontId="4" numFmtId="0" xfId="0" applyAlignment="1" applyFont="1">
      <alignment vertical="bottom"/>
    </xf>
    <xf borderId="1" fillId="3" fontId="4" numFmtId="0" xfId="0" applyAlignment="1" applyBorder="1" applyFont="1">
      <alignment vertical="bottom"/>
    </xf>
    <xf borderId="1" fillId="0" fontId="5" numFmtId="0" xfId="0" applyAlignment="1" applyBorder="1" applyFont="1">
      <alignment horizontal="center" readingOrder="0" vertical="bottom"/>
    </xf>
    <xf borderId="1" fillId="6" fontId="2" numFmtId="0" xfId="0" applyAlignment="1" applyBorder="1" applyFill="1" applyFont="1">
      <alignment horizontal="center" readingOrder="0" vertical="bottom"/>
    </xf>
    <xf borderId="1" fillId="7" fontId="2" numFmtId="49" xfId="0" applyAlignment="1" applyBorder="1" applyFill="1" applyFont="1" applyNumberFormat="1">
      <alignment horizontal="center" vertical="bottom"/>
    </xf>
    <xf borderId="1" fillId="7" fontId="2" numFmtId="0" xfId="0" applyAlignment="1" applyBorder="1" applyFont="1">
      <alignment horizontal="center" readingOrder="0" vertical="bottom"/>
    </xf>
    <xf borderId="1" fillId="5" fontId="9" numFmtId="0" xfId="0" applyAlignment="1" applyBorder="1" applyFont="1">
      <alignment horizontal="center" vertical="bottom"/>
    </xf>
    <xf borderId="1" fillId="7" fontId="10" numFmtId="0" xfId="0" applyAlignment="1" applyBorder="1" applyFont="1">
      <alignment horizontal="center" readingOrder="0" vertical="bottom"/>
    </xf>
    <xf borderId="1" fillId="6" fontId="2" numFmtId="0" xfId="0" applyAlignment="1" applyBorder="1" applyFont="1">
      <alignment horizontal="center" vertical="bottom"/>
    </xf>
    <xf borderId="1" fillId="7" fontId="4" numFmtId="0" xfId="0" applyAlignment="1" applyBorder="1" applyFont="1">
      <alignment vertical="bottom"/>
    </xf>
    <xf borderId="0" fillId="2" fontId="1" numFmtId="0" xfId="0" applyAlignment="1" applyFont="1">
      <alignment horizontal="center" readingOrder="0" vertical="bottom"/>
    </xf>
    <xf borderId="1" fillId="6" fontId="2" numFmtId="49" xfId="0" applyAlignment="1" applyBorder="1" applyFont="1" applyNumberFormat="1">
      <alignment horizontal="center" vertical="bottom"/>
    </xf>
    <xf borderId="1" fillId="4" fontId="11" numFmtId="0" xfId="0" applyAlignment="1" applyBorder="1" applyFont="1">
      <alignment horizontal="center" readingOrder="0" vertical="bottom"/>
    </xf>
    <xf borderId="2" fillId="0" fontId="5" numFmtId="49" xfId="0" applyAlignment="1" applyBorder="1" applyFont="1" applyNumberFormat="1">
      <alignment horizontal="center" readingOrder="0" vertical="bottom"/>
    </xf>
    <xf borderId="1" fillId="0" fontId="6" numFmtId="0" xfId="0" applyAlignment="1" applyBorder="1" applyFont="1">
      <alignment horizontal="center" vertical="bottom"/>
    </xf>
    <xf borderId="1" fillId="4" fontId="5" numFmtId="0" xfId="0" applyAlignment="1" applyBorder="1" applyFont="1">
      <alignment horizontal="center" vertical="bottom"/>
    </xf>
    <xf borderId="1" fillId="4" fontId="5" numFmtId="0" xfId="0" applyAlignment="1" applyBorder="1" applyFont="1">
      <alignment horizontal="center" readingOrder="0" vertical="bottom"/>
    </xf>
    <xf borderId="1" fillId="3" fontId="2" numFmtId="49" xfId="0" applyAlignment="1" applyBorder="1" applyFont="1" applyNumberFormat="1">
      <alignment horizontal="center" vertical="bottom"/>
    </xf>
    <xf borderId="1" fillId="5" fontId="2" numFmtId="49" xfId="0" applyAlignment="1" applyBorder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88"/>
    <col customWidth="1" min="7" max="7" width="23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>
        <v>1.0</v>
      </c>
      <c r="K1" s="2">
        <v>2.0</v>
      </c>
      <c r="L1" s="2">
        <v>3.0</v>
      </c>
      <c r="M1" s="2">
        <v>4.0</v>
      </c>
      <c r="N1" s="2">
        <v>5.0</v>
      </c>
      <c r="O1" s="2">
        <v>6.0</v>
      </c>
      <c r="P1" s="2">
        <v>7.0</v>
      </c>
      <c r="Q1" s="2">
        <v>8.0</v>
      </c>
      <c r="R1" s="2">
        <v>9.0</v>
      </c>
      <c r="S1" s="2">
        <v>10.0</v>
      </c>
      <c r="T1" s="2">
        <v>11.0</v>
      </c>
      <c r="U1" s="2">
        <v>12.0</v>
      </c>
      <c r="V1" s="2">
        <v>13.0</v>
      </c>
      <c r="W1" s="2">
        <v>14.0</v>
      </c>
      <c r="X1" s="2">
        <v>15.0</v>
      </c>
      <c r="Y1" s="2">
        <v>16.0</v>
      </c>
      <c r="Z1" s="2">
        <v>17.0</v>
      </c>
      <c r="AA1" s="2">
        <v>18.0</v>
      </c>
      <c r="AB1" s="2">
        <v>19.0</v>
      </c>
      <c r="AC1" s="2">
        <v>20.0</v>
      </c>
      <c r="AD1" s="2">
        <v>21.0</v>
      </c>
      <c r="AE1" s="2">
        <v>22.0</v>
      </c>
      <c r="AF1" s="2">
        <v>23.0</v>
      </c>
      <c r="AG1" s="2">
        <v>24.0</v>
      </c>
      <c r="AH1" s="2">
        <v>25.0</v>
      </c>
      <c r="AI1" s="2">
        <v>26.0</v>
      </c>
      <c r="AJ1" s="2">
        <v>27.0</v>
      </c>
      <c r="AK1" s="2">
        <v>28.0</v>
      </c>
      <c r="AL1" s="2">
        <v>29.0</v>
      </c>
      <c r="AM1" s="2">
        <v>30.0</v>
      </c>
      <c r="AN1" s="2">
        <v>31.0</v>
      </c>
      <c r="AO1" s="2" t="s">
        <v>9</v>
      </c>
    </row>
    <row r="2">
      <c r="A2" s="6" t="s">
        <v>10</v>
      </c>
      <c r="B2" s="7" t="s">
        <v>12</v>
      </c>
      <c r="C2" s="11" t="s">
        <v>14</v>
      </c>
      <c r="D2" s="8" t="s">
        <v>18</v>
      </c>
      <c r="E2" s="14">
        <v>46080.0</v>
      </c>
      <c r="F2" s="7" t="s">
        <v>19</v>
      </c>
      <c r="G2" s="7" t="s">
        <v>21</v>
      </c>
      <c r="H2" s="7" t="s">
        <v>22</v>
      </c>
      <c r="I2" s="15" t="s">
        <v>24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20">
        <v>0.0</v>
      </c>
    </row>
    <row r="3">
      <c r="A3" s="22" t="s">
        <v>28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</row>
    <row r="4">
      <c r="A4" s="24" t="s">
        <v>26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</row>
    <row r="5">
      <c r="A5" s="26" t="s">
        <v>27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</row>
  </sheetData>
  <dataValidations>
    <dataValidation type="list" allowBlank="1" showErrorMessage="1" sqref="C2">
      <formula1>"ECONOMUS,CABESP,ALICE SAÚDE,VIVEST,PORTO SEGURO"</formula1>
    </dataValidation>
    <dataValidation type="list" allowBlank="1" showErrorMessage="1" sqref="I2">
      <formula1>"1X/SEMANA,2X/SEMANA,3X/SEMANA,4X/SEMANA,5X/SEMANA,6X/SEMANA,1X/DIA ,2X/DIA,3X/DIA,4X/DIA,1X/MÊS,2X/MÊS ,BIMESTRAL,TRIMESTRAL,PONTUAL,AVALIAÇÃO"</formula1>
    </dataValidation>
    <dataValidation type="list" allowBlank="1" showErrorMessage="1" sqref="D2">
      <formula1>"NOVO PACIENTE,READMISSÃO,TROCA,INTENSIFICAÇÃO,DESMAME,COBERTURA,REVEZAMENTO"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13"/>
    <col customWidth="1" min="3" max="3" width="19.75"/>
    <col customWidth="1" min="4" max="4" width="18.75"/>
    <col customWidth="1" min="6" max="6" width="15.75"/>
    <col customWidth="1" min="7" max="7" width="30.0"/>
    <col customWidth="1" min="8" max="8" width="12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>
        <v>1.0</v>
      </c>
      <c r="K1" s="2">
        <v>2.0</v>
      </c>
      <c r="L1" s="2">
        <v>3.0</v>
      </c>
      <c r="M1" s="2">
        <v>4.0</v>
      </c>
      <c r="N1" s="2">
        <v>5.0</v>
      </c>
      <c r="O1" s="2">
        <v>6.0</v>
      </c>
      <c r="P1" s="2">
        <v>7.0</v>
      </c>
      <c r="Q1" s="2">
        <v>8.0</v>
      </c>
      <c r="R1" s="2">
        <v>9.0</v>
      </c>
      <c r="S1" s="2">
        <v>10.0</v>
      </c>
      <c r="T1" s="2">
        <v>11.0</v>
      </c>
      <c r="U1" s="2">
        <v>12.0</v>
      </c>
      <c r="V1" s="2">
        <v>13.0</v>
      </c>
      <c r="W1" s="2">
        <v>14.0</v>
      </c>
      <c r="X1" s="2">
        <v>15.0</v>
      </c>
      <c r="Y1" s="2">
        <v>16.0</v>
      </c>
      <c r="Z1" s="2">
        <v>17.0</v>
      </c>
      <c r="AA1" s="2">
        <v>18.0</v>
      </c>
      <c r="AB1" s="2">
        <v>19.0</v>
      </c>
      <c r="AC1" s="2">
        <v>20.0</v>
      </c>
      <c r="AD1" s="2">
        <v>21.0</v>
      </c>
      <c r="AE1" s="2">
        <v>22.0</v>
      </c>
      <c r="AF1" s="2">
        <v>23.0</v>
      </c>
      <c r="AG1" s="2">
        <v>24.0</v>
      </c>
      <c r="AH1" s="2">
        <v>25.0</v>
      </c>
      <c r="AI1" s="2">
        <v>26.0</v>
      </c>
      <c r="AJ1" s="2">
        <v>27.0</v>
      </c>
      <c r="AK1" s="2">
        <v>28.0</v>
      </c>
      <c r="AL1" s="2">
        <v>29.0</v>
      </c>
      <c r="AM1" s="2">
        <v>30.0</v>
      </c>
      <c r="AN1" s="2">
        <v>31.0</v>
      </c>
      <c r="AO1" s="2" t="s">
        <v>9</v>
      </c>
    </row>
    <row r="2">
      <c r="A2" s="6" t="s">
        <v>10</v>
      </c>
      <c r="B2" s="9" t="s">
        <v>12</v>
      </c>
      <c r="C2" s="11" t="s">
        <v>14</v>
      </c>
      <c r="D2" s="8"/>
      <c r="E2" s="14"/>
      <c r="F2" s="7" t="s">
        <v>19</v>
      </c>
      <c r="G2" s="7" t="s">
        <v>21</v>
      </c>
      <c r="H2" s="16" t="s">
        <v>23</v>
      </c>
      <c r="I2" s="15" t="s">
        <v>24</v>
      </c>
      <c r="J2" s="5"/>
      <c r="K2" s="5"/>
      <c r="L2" s="5"/>
      <c r="M2" s="5"/>
      <c r="N2" s="5"/>
      <c r="O2" s="5"/>
      <c r="P2" s="5"/>
      <c r="Q2" s="5"/>
      <c r="R2" s="5"/>
      <c r="S2" s="5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20">
        <v>0.0</v>
      </c>
    </row>
    <row r="3">
      <c r="A3" s="22" t="s">
        <v>28</v>
      </c>
      <c r="B3" s="4" t="s">
        <v>11</v>
      </c>
      <c r="C3" s="5"/>
      <c r="D3" s="8" t="s">
        <v>18</v>
      </c>
      <c r="E3" s="10">
        <v>46093.0</v>
      </c>
      <c r="F3" s="12" t="s">
        <v>15</v>
      </c>
      <c r="G3" s="12" t="s">
        <v>16</v>
      </c>
      <c r="H3" s="13" t="s">
        <v>17</v>
      </c>
      <c r="I3" s="15" t="s">
        <v>24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5"/>
      <c r="AJ3" s="5"/>
      <c r="AK3" s="5"/>
      <c r="AL3" s="5"/>
      <c r="AM3" s="5"/>
      <c r="AN3" s="5"/>
      <c r="AO3" s="5"/>
    </row>
    <row r="4">
      <c r="A4" s="24" t="s">
        <v>26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</row>
    <row r="5">
      <c r="A5" s="26" t="s">
        <v>27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</row>
  </sheetData>
  <dataValidations>
    <dataValidation type="list" allowBlank="1" showErrorMessage="1" sqref="C2">
      <formula1>"ECONOMUS,CABESP,ALICE SAÚDE,VIVEST,PORTO SEGURO"</formula1>
    </dataValidation>
    <dataValidation type="list" allowBlank="1" showErrorMessage="1" sqref="I2:I3">
      <formula1>"1X/SEMANA,2X/SEMANA,3X/SEMANA,4X/SEMANA,5X/SEMANA,6X/SEMANA,1X/DIA ,2X/DIA,3X/DIA,4X/DIA,1X/MÊS,2X/MÊS ,BIMESTRAL,TRIMESTRAL,PONTUAL,AVALIAÇÃO"</formula1>
    </dataValidation>
    <dataValidation type="list" allowBlank="1" showErrorMessage="1" sqref="D2:D3">
      <formula1>"NOVO PACIENTE,READMISSÃO,TROCA,INTENSIFICAÇÃO,DESMAME,COBERTURA,REVEZAMENTO"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13"/>
    <col customWidth="1" min="3" max="3" width="19.75"/>
    <col customWidth="1" min="4" max="4" width="18.75"/>
    <col customWidth="1" min="6" max="6" width="15.75"/>
    <col customWidth="1" min="7" max="7" width="30.0"/>
    <col customWidth="1" min="8" max="8" width="12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>
        <v>1.0</v>
      </c>
      <c r="K1" s="2">
        <v>2.0</v>
      </c>
      <c r="L1" s="2">
        <v>3.0</v>
      </c>
      <c r="M1" s="2">
        <v>4.0</v>
      </c>
      <c r="N1" s="2">
        <v>5.0</v>
      </c>
      <c r="O1" s="2">
        <v>6.0</v>
      </c>
      <c r="P1" s="2">
        <v>7.0</v>
      </c>
      <c r="Q1" s="2">
        <v>8.0</v>
      </c>
      <c r="R1" s="2">
        <v>9.0</v>
      </c>
      <c r="S1" s="2">
        <v>10.0</v>
      </c>
      <c r="T1" s="2">
        <v>11.0</v>
      </c>
      <c r="U1" s="2">
        <v>12.0</v>
      </c>
      <c r="V1" s="2">
        <v>13.0</v>
      </c>
      <c r="W1" s="2">
        <v>14.0</v>
      </c>
      <c r="X1" s="2">
        <v>15.0</v>
      </c>
      <c r="Y1" s="2">
        <v>16.0</v>
      </c>
      <c r="Z1" s="2">
        <v>17.0</v>
      </c>
      <c r="AA1" s="2">
        <v>18.0</v>
      </c>
      <c r="AB1" s="2">
        <v>19.0</v>
      </c>
      <c r="AC1" s="2">
        <v>20.0</v>
      </c>
      <c r="AD1" s="2">
        <v>21.0</v>
      </c>
      <c r="AE1" s="2">
        <v>22.0</v>
      </c>
      <c r="AF1" s="2">
        <v>23.0</v>
      </c>
      <c r="AG1" s="2">
        <v>24.0</v>
      </c>
      <c r="AH1" s="2">
        <v>25.0</v>
      </c>
      <c r="AI1" s="2">
        <v>26.0</v>
      </c>
      <c r="AJ1" s="2">
        <v>27.0</v>
      </c>
      <c r="AK1" s="2">
        <v>28.0</v>
      </c>
      <c r="AL1" s="2">
        <v>29.0</v>
      </c>
      <c r="AM1" s="2">
        <v>30.0</v>
      </c>
      <c r="AN1" s="2">
        <v>31.0</v>
      </c>
      <c r="AO1" s="2" t="s">
        <v>9</v>
      </c>
    </row>
    <row r="2">
      <c r="A2" s="3" t="s">
        <v>10</v>
      </c>
      <c r="B2" s="4" t="s">
        <v>11</v>
      </c>
      <c r="C2" s="5"/>
      <c r="D2" s="8"/>
      <c r="E2" s="10"/>
      <c r="F2" s="12" t="s">
        <v>15</v>
      </c>
      <c r="G2" s="12" t="s">
        <v>16</v>
      </c>
      <c r="H2" s="13" t="s">
        <v>17</v>
      </c>
      <c r="I2" s="15" t="s">
        <v>24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</row>
    <row r="3">
      <c r="A3" s="25" t="s">
        <v>28</v>
      </c>
      <c r="B3" s="4" t="s">
        <v>11</v>
      </c>
      <c r="C3" s="5"/>
      <c r="D3" s="8" t="s">
        <v>13</v>
      </c>
      <c r="E3" s="10">
        <v>46143.0</v>
      </c>
      <c r="F3" s="12" t="s">
        <v>15</v>
      </c>
      <c r="G3" s="12" t="s">
        <v>16</v>
      </c>
      <c r="H3" s="13" t="s">
        <v>17</v>
      </c>
      <c r="I3" s="15" t="s">
        <v>20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>
      <c r="A4" s="17" t="s">
        <v>26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</row>
    <row r="5">
      <c r="A5" s="21" t="s">
        <v>27</v>
      </c>
    </row>
  </sheetData>
  <dataValidations>
    <dataValidation type="list" allowBlank="1" showErrorMessage="1" sqref="I2:I3">
      <formula1>"1X/SEMANA,2X/SEMANA,3X/SEMANA,4X/SEMANA,5X/SEMANA,6X/SEMANA,1X/DIA ,2X/DIA,3X/DIA,4X/DIA,1X/MÊS,2X/MÊS ,BIMESTRAL,TRIMESTRAL,PONTUAL,AVALIAÇÃO"</formula1>
    </dataValidation>
    <dataValidation type="list" allowBlank="1" showErrorMessage="1" sqref="D2:D3">
      <formula1>"NOVO PACIENTE,READMISSÃO,TROCA,INTENSIFICAÇÃO,DESMAME,COBERTURA,REVEZAMENTO"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13"/>
    <col customWidth="1" min="3" max="3" width="19.75"/>
    <col customWidth="1" min="4" max="4" width="18.75"/>
    <col customWidth="1" min="6" max="6" width="15.75"/>
    <col customWidth="1" min="7" max="7" width="30.0"/>
    <col customWidth="1" min="8" max="8" width="12.88"/>
    <col customWidth="1" min="10" max="41" width="3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>
        <v>1.0</v>
      </c>
      <c r="K1" s="2">
        <v>2.0</v>
      </c>
      <c r="L1" s="2">
        <v>3.0</v>
      </c>
      <c r="M1" s="2">
        <v>4.0</v>
      </c>
      <c r="N1" s="2">
        <v>5.0</v>
      </c>
      <c r="O1" s="2">
        <v>6.0</v>
      </c>
      <c r="P1" s="2">
        <v>7.0</v>
      </c>
      <c r="Q1" s="2">
        <v>8.0</v>
      </c>
      <c r="R1" s="2">
        <v>9.0</v>
      </c>
      <c r="S1" s="2">
        <v>10.0</v>
      </c>
      <c r="T1" s="2">
        <v>11.0</v>
      </c>
      <c r="U1" s="2">
        <v>12.0</v>
      </c>
      <c r="V1" s="2">
        <v>13.0</v>
      </c>
      <c r="W1" s="2">
        <v>14.0</v>
      </c>
      <c r="X1" s="2">
        <v>15.0</v>
      </c>
      <c r="Y1" s="2">
        <v>16.0</v>
      </c>
      <c r="Z1" s="2">
        <v>17.0</v>
      </c>
      <c r="AA1" s="2">
        <v>18.0</v>
      </c>
      <c r="AB1" s="2">
        <v>19.0</v>
      </c>
      <c r="AC1" s="2">
        <v>20.0</v>
      </c>
      <c r="AD1" s="2">
        <v>21.0</v>
      </c>
      <c r="AE1" s="2">
        <v>22.0</v>
      </c>
      <c r="AF1" s="2">
        <v>23.0</v>
      </c>
      <c r="AG1" s="2">
        <v>24.0</v>
      </c>
      <c r="AH1" s="2">
        <v>25.0</v>
      </c>
      <c r="AI1" s="2">
        <v>26.0</v>
      </c>
      <c r="AJ1" s="2">
        <v>27.0</v>
      </c>
      <c r="AK1" s="2">
        <v>28.0</v>
      </c>
      <c r="AL1" s="2">
        <v>29.0</v>
      </c>
      <c r="AM1" s="2">
        <v>30.0</v>
      </c>
      <c r="AN1" s="2">
        <v>31.0</v>
      </c>
      <c r="AO1" s="2" t="s">
        <v>9</v>
      </c>
    </row>
    <row r="2">
      <c r="A2" s="3" t="s">
        <v>10</v>
      </c>
      <c r="B2" s="4" t="s">
        <v>11</v>
      </c>
      <c r="C2" s="5"/>
      <c r="D2" s="8" t="s">
        <v>13</v>
      </c>
      <c r="E2" s="10">
        <v>46143.0</v>
      </c>
      <c r="F2" s="12" t="s">
        <v>15</v>
      </c>
      <c r="G2" s="12" t="s">
        <v>16</v>
      </c>
      <c r="H2" s="13" t="s">
        <v>17</v>
      </c>
      <c r="I2" s="15" t="s">
        <v>20</v>
      </c>
      <c r="J2" s="13">
        <v>1.0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13">
        <v>1.0</v>
      </c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13" t="s">
        <v>25</v>
      </c>
      <c r="AO2" s="13">
        <f>SUM(J2:AN2)</f>
        <v>2</v>
      </c>
    </row>
    <row r="3">
      <c r="A3" s="17" t="s">
        <v>26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</row>
    <row r="4">
      <c r="A4" s="21" t="s">
        <v>27</v>
      </c>
    </row>
    <row r="5">
      <c r="A5" s="23" t="s">
        <v>29</v>
      </c>
    </row>
  </sheetData>
  <dataValidations>
    <dataValidation type="list" allowBlank="1" showErrorMessage="1" sqref="I2">
      <formula1>"1X/SEMANA,2X/SEMANA,3X/SEMANA,4X/SEMANA,5X/SEMANA,6X/SEMANA,1X/DIA ,2X/DIA,3X/DIA,4X/DIA,1X/MÊS,2X/MÊS ,BIMESTRAL,TRIMESTRAL,PONTUAL,AVALIAÇÃO"</formula1>
    </dataValidation>
    <dataValidation type="list" allowBlank="1" showErrorMessage="1" sqref="D2">
      <formula1>"NOVO PACIENTE,READMISSÃO,TROCA,INTENSIFICAÇÃO,DESMAME,COBERTURA,REVEZAMENTO"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FC5E8"/>
    <outlinePr summaryBelow="0" summaryRight="0"/>
  </sheetPr>
  <sheetViews>
    <sheetView workbookViewId="0"/>
  </sheetViews>
  <sheetFormatPr customHeight="1" defaultColWidth="12.63" defaultRowHeight="15.75"/>
  <cols>
    <col customWidth="1" min="2" max="2" width="28.13"/>
    <col customWidth="1" min="3" max="3" width="19.75"/>
    <col customWidth="1" min="4" max="4" width="18.75"/>
    <col customWidth="1" min="6" max="6" width="15.75"/>
    <col customWidth="1" min="7" max="7" width="30.0"/>
    <col customWidth="1" min="8" max="8" width="12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>
        <v>1.0</v>
      </c>
      <c r="K1" s="2">
        <v>2.0</v>
      </c>
      <c r="L1" s="2">
        <v>3.0</v>
      </c>
      <c r="M1" s="2">
        <v>4.0</v>
      </c>
      <c r="N1" s="2">
        <v>5.0</v>
      </c>
      <c r="O1" s="2">
        <v>6.0</v>
      </c>
      <c r="P1" s="2">
        <v>7.0</v>
      </c>
      <c r="Q1" s="2">
        <v>8.0</v>
      </c>
      <c r="R1" s="2">
        <v>9.0</v>
      </c>
      <c r="S1" s="2">
        <v>10.0</v>
      </c>
      <c r="T1" s="2">
        <v>11.0</v>
      </c>
      <c r="U1" s="2">
        <v>12.0</v>
      </c>
      <c r="V1" s="2">
        <v>13.0</v>
      </c>
      <c r="W1" s="2">
        <v>14.0</v>
      </c>
      <c r="X1" s="2">
        <v>15.0</v>
      </c>
      <c r="Y1" s="2">
        <v>16.0</v>
      </c>
      <c r="Z1" s="2">
        <v>17.0</v>
      </c>
      <c r="AA1" s="2">
        <v>18.0</v>
      </c>
      <c r="AB1" s="2">
        <v>19.0</v>
      </c>
      <c r="AC1" s="2">
        <v>20.0</v>
      </c>
      <c r="AD1" s="2">
        <v>21.0</v>
      </c>
      <c r="AE1" s="2">
        <v>22.0</v>
      </c>
      <c r="AF1" s="2">
        <v>23.0</v>
      </c>
      <c r="AG1" s="2">
        <v>24.0</v>
      </c>
      <c r="AH1" s="2">
        <v>25.0</v>
      </c>
      <c r="AI1" s="2">
        <v>26.0</v>
      </c>
      <c r="AJ1" s="2">
        <v>27.0</v>
      </c>
      <c r="AK1" s="2">
        <v>28.0</v>
      </c>
      <c r="AL1" s="2">
        <v>29.0</v>
      </c>
      <c r="AM1" s="2">
        <v>30.0</v>
      </c>
      <c r="AN1" s="2">
        <v>31.0</v>
      </c>
      <c r="AO1" s="2" t="s">
        <v>9</v>
      </c>
    </row>
    <row r="2">
      <c r="A2" s="3" t="s">
        <v>10</v>
      </c>
      <c r="B2" s="4" t="s">
        <v>11</v>
      </c>
      <c r="C2" s="5"/>
      <c r="D2" s="8"/>
      <c r="E2" s="10"/>
      <c r="F2" s="12" t="s">
        <v>15</v>
      </c>
      <c r="G2" s="12" t="s">
        <v>16</v>
      </c>
      <c r="H2" s="13" t="s">
        <v>17</v>
      </c>
      <c r="I2" s="15" t="s">
        <v>20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27"/>
    </row>
    <row r="3">
      <c r="A3" s="17" t="s">
        <v>26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</row>
    <row r="4">
      <c r="A4" s="21" t="s">
        <v>27</v>
      </c>
    </row>
    <row r="5">
      <c r="A5" s="23" t="s">
        <v>29</v>
      </c>
    </row>
  </sheetData>
  <dataValidations>
    <dataValidation type="list" allowBlank="1" showErrorMessage="1" sqref="I2">
      <formula1>"1X/SEMANA,2X/SEMANA,3X/SEMANA,4X/SEMANA,5X/SEMANA,6X/SEMANA,1X/DIA ,2X/DIA,3X/DIA,4X/DIA,1X/MÊS,2X/MÊS ,BIMESTRAL,TRIMESTRAL,PONTUAL,AVALIAÇÃO"</formula1>
    </dataValidation>
    <dataValidation type="list" allowBlank="1" showErrorMessage="1" sqref="D2">
      <formula1>"NOVO PACIENTE,READMISSÃO,TROCA,INTENSIFICAÇÃO,DESMAME,COBERTURA,REVEZAMENTO"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3.38"/>
    <col customWidth="1" min="3" max="3" width="18.75"/>
    <col customWidth="1" min="5" max="5" width="15.75"/>
    <col customWidth="1" min="6" max="6" width="30.0"/>
    <col customWidth="1" min="7" max="7" width="16.25"/>
    <col customWidth="1" min="8" max="8" width="14.63"/>
    <col customWidth="1" min="9" max="39" width="4.63"/>
    <col customWidth="1" min="40" max="42" width="10.13"/>
  </cols>
  <sheetData>
    <row r="1">
      <c r="A1" s="1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>
        <v>1.0</v>
      </c>
      <c r="J1" s="2">
        <v>2.0</v>
      </c>
      <c r="K1" s="2">
        <v>3.0</v>
      </c>
      <c r="L1" s="2">
        <v>4.0</v>
      </c>
      <c r="M1" s="2">
        <v>5.0</v>
      </c>
      <c r="N1" s="2">
        <v>6.0</v>
      </c>
      <c r="O1" s="2">
        <v>7.0</v>
      </c>
      <c r="P1" s="2">
        <v>8.0</v>
      </c>
      <c r="Q1" s="2">
        <v>9.0</v>
      </c>
      <c r="R1" s="2">
        <v>10.0</v>
      </c>
      <c r="S1" s="2">
        <v>11.0</v>
      </c>
      <c r="T1" s="2">
        <v>12.0</v>
      </c>
      <c r="U1" s="2">
        <v>13.0</v>
      </c>
      <c r="V1" s="2">
        <v>14.0</v>
      </c>
      <c r="W1" s="2">
        <v>15.0</v>
      </c>
      <c r="X1" s="2">
        <v>16.0</v>
      </c>
      <c r="Y1" s="2">
        <v>17.0</v>
      </c>
      <c r="Z1" s="2">
        <v>18.0</v>
      </c>
      <c r="AA1" s="2">
        <v>19.0</v>
      </c>
      <c r="AB1" s="2">
        <v>20.0</v>
      </c>
      <c r="AC1" s="2">
        <v>21.0</v>
      </c>
      <c r="AD1" s="2">
        <v>22.0</v>
      </c>
      <c r="AE1" s="2">
        <v>23.0</v>
      </c>
      <c r="AF1" s="2">
        <v>24.0</v>
      </c>
      <c r="AG1" s="2">
        <v>25.0</v>
      </c>
      <c r="AH1" s="2">
        <v>26.0</v>
      </c>
      <c r="AI1" s="2">
        <v>27.0</v>
      </c>
      <c r="AJ1" s="2">
        <v>28.0</v>
      </c>
      <c r="AK1" s="2">
        <v>29.0</v>
      </c>
      <c r="AL1" s="2">
        <v>30.0</v>
      </c>
      <c r="AM1" s="2">
        <v>31.0</v>
      </c>
      <c r="AN1" s="2" t="s">
        <v>9</v>
      </c>
      <c r="AO1" s="28" t="s">
        <v>30</v>
      </c>
      <c r="AP1" s="28" t="s">
        <v>31</v>
      </c>
    </row>
    <row r="2">
      <c r="A2" s="29" t="s">
        <v>27</v>
      </c>
      <c r="B2" s="30" t="s">
        <v>11</v>
      </c>
      <c r="C2" s="31"/>
      <c r="D2" s="14"/>
      <c r="E2" s="7" t="s">
        <v>15</v>
      </c>
      <c r="F2" s="7" t="s">
        <v>16</v>
      </c>
      <c r="G2" s="7" t="s">
        <v>17</v>
      </c>
      <c r="H2" s="15" t="s">
        <v>20</v>
      </c>
      <c r="I2" s="32"/>
      <c r="J2" s="32"/>
      <c r="K2" s="32"/>
      <c r="L2" s="32"/>
      <c r="M2" s="32"/>
      <c r="N2" s="32"/>
      <c r="O2" s="32"/>
      <c r="P2" s="32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32"/>
      <c r="AD2" s="32"/>
      <c r="AE2" s="32"/>
      <c r="AF2" s="32"/>
      <c r="AG2" s="32"/>
      <c r="AH2" s="7"/>
      <c r="AI2" s="32"/>
      <c r="AJ2" s="7">
        <v>1.0</v>
      </c>
      <c r="AK2" s="32"/>
      <c r="AL2" s="32"/>
      <c r="AM2" s="32"/>
      <c r="AN2" s="33">
        <f>SUM(I2:AM2)</f>
        <v>1</v>
      </c>
      <c r="AO2" s="34" t="s">
        <v>25</v>
      </c>
      <c r="AP2" s="34" t="s">
        <v>32</v>
      </c>
    </row>
    <row r="3">
      <c r="A3" s="35" t="s">
        <v>10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</row>
    <row r="4">
      <c r="A4" s="36" t="s">
        <v>26</v>
      </c>
    </row>
    <row r="5">
      <c r="A5" s="22" t="s">
        <v>28</v>
      </c>
    </row>
  </sheetData>
  <dataValidations>
    <dataValidation type="list" allowBlank="1" showErrorMessage="1" sqref="H2">
      <formula1>"1X/SEMANA,2X/SEMANA,3X/SEMANA,4X/SEMANA,5X/SEMANA,6X/SEMANA,1X/DIA ,2X/DIA,3X/DIA,4X/DIA,1X/MÊS,2X/MÊS ,BIMESTRAL,TRIMESTRAL,PONTUAL,AVALIAÇÃO"</formula1>
    </dataValidation>
    <dataValidation type="list" allowBlank="1" showErrorMessage="1" sqref="C2">
      <formula1>"NOVO PACIENTE,READMISSÃO,TROCA,INTENSIFICAÇÃO,DESMAME,COBERTURA,REVEZAMENTO"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3.38"/>
    <col customWidth="1" min="3" max="3" width="18.75"/>
    <col customWidth="1" min="5" max="5" width="15.75"/>
    <col customWidth="1" min="6" max="6" width="30.0"/>
    <col customWidth="1" min="7" max="7" width="16.25"/>
    <col customWidth="1" min="8" max="8" width="14.63"/>
    <col customWidth="1" min="9" max="39" width="4.63"/>
    <col customWidth="1" min="40" max="42" width="10.13"/>
  </cols>
  <sheetData>
    <row r="1">
      <c r="A1" s="1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>
        <v>1.0</v>
      </c>
      <c r="J1" s="2">
        <v>2.0</v>
      </c>
      <c r="K1" s="2">
        <v>3.0</v>
      </c>
      <c r="L1" s="2">
        <v>4.0</v>
      </c>
      <c r="M1" s="2">
        <v>5.0</v>
      </c>
      <c r="N1" s="2">
        <v>6.0</v>
      </c>
      <c r="O1" s="2">
        <v>7.0</v>
      </c>
      <c r="P1" s="2">
        <v>8.0</v>
      </c>
      <c r="Q1" s="2">
        <v>9.0</v>
      </c>
      <c r="R1" s="2">
        <v>10.0</v>
      </c>
      <c r="S1" s="2">
        <v>11.0</v>
      </c>
      <c r="T1" s="2">
        <v>12.0</v>
      </c>
      <c r="U1" s="2">
        <v>13.0</v>
      </c>
      <c r="V1" s="2">
        <v>14.0</v>
      </c>
      <c r="W1" s="2">
        <v>15.0</v>
      </c>
      <c r="X1" s="2">
        <v>16.0</v>
      </c>
      <c r="Y1" s="2">
        <v>17.0</v>
      </c>
      <c r="Z1" s="2">
        <v>18.0</v>
      </c>
      <c r="AA1" s="2">
        <v>19.0</v>
      </c>
      <c r="AB1" s="2">
        <v>20.0</v>
      </c>
      <c r="AC1" s="2">
        <v>21.0</v>
      </c>
      <c r="AD1" s="2">
        <v>22.0</v>
      </c>
      <c r="AE1" s="2">
        <v>23.0</v>
      </c>
      <c r="AF1" s="2">
        <v>24.0</v>
      </c>
      <c r="AG1" s="2">
        <v>25.0</v>
      </c>
      <c r="AH1" s="2">
        <v>26.0</v>
      </c>
      <c r="AI1" s="2">
        <v>27.0</v>
      </c>
      <c r="AJ1" s="2">
        <v>28.0</v>
      </c>
      <c r="AK1" s="2">
        <v>29.0</v>
      </c>
      <c r="AL1" s="2">
        <v>30.0</v>
      </c>
      <c r="AM1" s="2">
        <v>31.0</v>
      </c>
      <c r="AN1" s="2" t="s">
        <v>9</v>
      </c>
      <c r="AO1" s="28" t="s">
        <v>30</v>
      </c>
      <c r="AP1" s="28" t="s">
        <v>31</v>
      </c>
    </row>
    <row r="2">
      <c r="A2" s="29" t="s">
        <v>27</v>
      </c>
      <c r="B2" s="30" t="s">
        <v>11</v>
      </c>
      <c r="C2" s="31"/>
      <c r="D2" s="14"/>
      <c r="E2" s="7" t="s">
        <v>15</v>
      </c>
      <c r="F2" s="7" t="s">
        <v>16</v>
      </c>
      <c r="G2" s="7" t="s">
        <v>17</v>
      </c>
      <c r="H2" s="15" t="s">
        <v>20</v>
      </c>
      <c r="I2" s="32"/>
      <c r="J2" s="32"/>
      <c r="K2" s="32"/>
      <c r="L2" s="32"/>
      <c r="M2" s="32"/>
      <c r="N2" s="32"/>
      <c r="O2" s="32"/>
      <c r="P2" s="32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3">
        <f>SUM(I2:AM2)</f>
        <v>0</v>
      </c>
      <c r="AO2" s="33"/>
      <c r="AP2" s="33"/>
    </row>
    <row r="3">
      <c r="A3" s="35" t="s">
        <v>10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</row>
    <row r="4">
      <c r="A4" s="36" t="s">
        <v>26</v>
      </c>
    </row>
    <row r="5">
      <c r="A5" s="22" t="s">
        <v>28</v>
      </c>
    </row>
  </sheetData>
  <dataValidations>
    <dataValidation type="list" allowBlank="1" showErrorMessage="1" sqref="H2">
      <formula1>"1X/SEMANA,2X/SEMANA,3X/SEMANA,4X/SEMANA,5X/SEMANA,6X/SEMANA,1X/DIA ,2X/DIA,3X/DIA,4X/DIA,1X/MÊS,2X/MÊS ,BIMESTRAL,TRIMESTRAL,PONTUAL,AVALIAÇÃO"</formula1>
    </dataValidation>
    <dataValidation type="list" allowBlank="1" showErrorMessage="1" sqref="C2">
      <formula1>"NOVO PACIENTE,READMISSÃO,TROCA,INTENSIFICAÇÃO,DESMAME,COBERTURA,REVEZAMENTO"</formula1>
    </dataValidation>
  </dataValidations>
  <drawing r:id="rId1"/>
</worksheet>
</file>