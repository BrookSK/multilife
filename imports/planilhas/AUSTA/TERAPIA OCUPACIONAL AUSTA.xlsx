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OVEMBRO25" sheetId="1" r:id="rId5"/>
    <sheet state="hidden" name="DEZEMBRO25" sheetId="2" r:id="rId6"/>
    <sheet state="hidden" name="JANEIRO26" sheetId="3" r:id="rId7"/>
    <sheet state="hidden" name="FEVEREIRO26" sheetId="4" r:id="rId8"/>
    <sheet state="hidden" name="MARÇO26" sheetId="5" r:id="rId9"/>
    <sheet state="visible" name="ABRIL26" sheetId="6" r:id="rId10"/>
    <sheet state="hidden" name="MAIO26" sheetId="7" r:id="rId11"/>
    <sheet state="visible" name="JUNHO26" sheetId="8" r:id="rId12"/>
    <sheet state="visible" name="JULHO26" sheetId="9" r:id="rId13"/>
    <sheet state="visible" name="AGOSTO26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Autorizado até 20/12/2025
Novo período autorizado 
- 21/12/2025 a 20/01/2026</t>
      </text>
    </comment>
    <comment authorId="0" ref="H2">
      <text>
        <t xml:space="preserve">Autorizado até 20/12/2025
Novo período autorizado 
- 21/12/2025 a 20/01/2026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Novo período autorizado 
- 21/01/2026 a 20/02/2026</t>
      </text>
    </comment>
    <comment authorId="0" ref="H2">
      <text>
        <t xml:space="preserve">Novo período autorizado 
- 21/01/2026 a 20/02/2026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Novo período autorizado 
- 21/02 a 20/03
</t>
      </text>
    </comment>
    <comment authorId="0" ref="H2">
      <text>
        <t xml:space="preserve">Novo período autorizado 
- 21/02 a 20/03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Novo período autorizado 
- 21/03 a 20/04
</t>
      </text>
    </comment>
    <comment authorId="0" ref="H4">
      <text>
        <t xml:space="preserve">Novo período autorizado 
- 21/03 a 20/04.
</t>
      </text>
    </comment>
    <comment authorId="0" ref="H2">
      <text>
        <t xml:space="preserve">Novo período autorizado 
- 21/03 a 20/04.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DN: 04/06/16</t>
      </text>
    </comment>
    <comment authorId="0" ref="H8">
      <text>
        <t xml:space="preserve">Novo período autorizado 
- 21/04 a 20/05
</t>
      </text>
    </comment>
    <comment authorId="0" ref="H5">
      <text>
        <t xml:space="preserve">Novo período autorizado 
- 21/04 a 20/05
</t>
      </text>
    </comment>
    <comment authorId="0" ref="H3">
      <text>
        <t xml:space="preserve">Novo período autorizado 
- 21/04 a 20/05
</t>
      </text>
    </comment>
    <comment authorId="0" ref="H2">
      <text>
        <t xml:space="preserve">Novo período autorizado 
- 21/04 a 20/05.
</t>
      </text>
    </comment>
    <comment authorId="0" ref="B8">
      <text>
        <t xml:space="preserve">01/06/37</t>
      </text>
    </comment>
    <comment authorId="0" ref="B6">
      <text>
        <t xml:space="preserve">19/02/24</t>
      </text>
    </comment>
    <comment authorId="0" ref="B5">
      <text>
        <t xml:space="preserve">20/03/97</t>
      </text>
    </comment>
    <comment authorId="0" ref="B3">
      <text>
        <t xml:space="preserve">DN: 16/06/68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DN: 04/06/16</t>
      </text>
    </comment>
    <comment authorId="0" ref="H6">
      <text>
        <t xml:space="preserve">Autorizados 3 atendimentos em maio.
Período: 07 a 21/05
</t>
      </text>
    </comment>
    <comment authorId="0" ref="H5">
      <text>
        <t xml:space="preserve">Novo período autorizado 
- 21/04 a 20/05
</t>
      </text>
    </comment>
    <comment authorId="0" ref="H3">
      <text>
        <t xml:space="preserve">Novo período autorizado 
- 21/04 a 20/05
</t>
      </text>
    </comment>
    <comment authorId="0" ref="H2">
      <text>
        <t xml:space="preserve">Novo período autorizado 
- 21/04 a 20/05.
</t>
      </text>
    </comment>
    <comment authorId="0" ref="B9">
      <text>
        <t xml:space="preserve">01/06/37</t>
      </text>
    </comment>
    <comment authorId="0" ref="B7">
      <text>
        <t xml:space="preserve">19/02/24</t>
      </text>
    </comment>
    <comment authorId="0" ref="B5">
      <text>
        <t xml:space="preserve">20/03/97</t>
      </text>
    </comment>
    <comment authorId="0" ref="B3">
      <text>
        <t xml:space="preserve">DN: 16/06/68</t>
      </text>
    </comment>
    <comment authorId="0" ref="H9">
      <text>
        <t xml:space="preserve">Novo período autorizado 
- 21/04 a 20/05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DN: 04/06/16</t>
      </text>
    </comment>
    <comment authorId="0" ref="H8">
      <text>
        <t xml:space="preserve">
Período:  21/05 a 20/06
</t>
      </text>
    </comment>
    <comment authorId="0" ref="H7">
      <text>
        <t xml:space="preserve">Novo período autorizado 
-  21/06 a 20/07
</t>
      </text>
    </comment>
    <comment authorId="0" ref="H6">
      <text>
        <t xml:space="preserve">Novo período autorizado 
-  21/05 a 20/06
</t>
      </text>
    </comment>
    <comment authorId="0" ref="H3">
      <text>
        <t xml:space="preserve">Novo período autorizado 
-  21/06 a 20/07
</t>
      </text>
    </comment>
    <comment authorId="0" ref="H2">
      <text>
        <t xml:space="preserve">Novo período autorizado 
-  21/06 a 20/07</t>
      </text>
    </comment>
    <comment authorId="0" ref="B10">
      <text>
        <t xml:space="preserve">01/06/37</t>
      </text>
    </comment>
    <comment authorId="0" ref="B6">
      <text>
        <t xml:space="preserve">20/03/97</t>
      </text>
    </comment>
    <comment authorId="0" ref="B4">
      <text>
        <t xml:space="preserve">Avaliação realizada pela profissional não será contabilizada, devido não ter enviado o relatório </t>
      </text>
    </comment>
    <comment authorId="0" ref="H10">
      <text>
        <t xml:space="preserve">Novo período autorizado 
-  21/06 a 20/07
</t>
      </text>
    </comment>
    <comment authorId="0" ref="B3">
      <text>
        <t xml:space="preserve">DN: 16/06/68</t>
      </text>
    </comment>
    <comment authorId="0" ref="H9">
      <text>
        <t xml:space="preserve"> 21/06 a 20/07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DN: 04/06/16</t>
      </text>
    </comment>
    <comment authorId="0" ref="H8">
      <text>
        <t xml:space="preserve">Período autorizado 
21/07/2026 a 20/08/2026</t>
      </text>
    </comment>
    <comment authorId="0" ref="H7">
      <text>
        <t xml:space="preserve">Período autorizado 
21/07/2026 a 20/08/2026</t>
      </text>
    </comment>
    <comment authorId="0" ref="H6">
      <text>
        <t xml:space="preserve">Período autorizado
-21/07 a 20/08/2026
</t>
      </text>
    </comment>
    <comment authorId="0" ref="H5">
      <text>
        <t xml:space="preserve">Período autorizado 
21/07/2026 a 20/08/2026
</t>
      </text>
    </comment>
    <comment authorId="0" ref="H4">
      <text>
        <t xml:space="preserve">Período autorizado 
21/07/2026 a 20/08/2026</t>
      </text>
    </comment>
    <comment authorId="0" ref="H3">
      <text>
        <t xml:space="preserve">Período autorizado 
21/07/2026 a 20/08/2026
</t>
      </text>
    </comment>
    <comment authorId="0" ref="H2">
      <text>
        <t xml:space="preserve">Período autorizado 
21/07/2026 a 20/08/2026</t>
      </text>
    </comment>
    <comment authorId="0" ref="B9">
      <text>
        <t xml:space="preserve">01/06/37</t>
      </text>
    </comment>
    <comment authorId="0" ref="B7">
      <text>
        <t xml:space="preserve">DN: 19/02/2024</t>
      </text>
    </comment>
    <comment authorId="0" ref="B6">
      <text>
        <t xml:space="preserve">DN: 08/07/1964</t>
      </text>
    </comment>
    <comment authorId="0" ref="B5">
      <text>
        <t xml:space="preserve">DN: 20/03/1997
</t>
      </text>
    </comment>
    <comment authorId="0" ref="F9">
      <text>
        <t xml:space="preserve">Profissional irá declinar em 21/07/2026</t>
      </text>
    </comment>
    <comment authorId="0" ref="B4">
      <text>
        <t xml:space="preserve">DN: 24/12/2022</t>
      </text>
    </comment>
    <comment authorId="0" ref="B3">
      <text>
        <t xml:space="preserve">DN: 16/06/68</t>
      </text>
    </comment>
    <comment authorId="0" ref="F7">
      <text>
        <t xml:space="preserve">Profissional declinou dos atendimentos em 20/07/2026</t>
      </text>
    </comment>
    <comment authorId="0" ref="H9">
      <text>
        <t xml:space="preserve">Período autorizado 
21/07/2026 a 20/08/2026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DN: 04/06/16</t>
      </text>
    </comment>
    <comment authorId="0" ref="H8">
      <text>
        <t xml:space="preserve">Período autorizado 
21/07/2026 a 20/08/2026</t>
      </text>
    </comment>
    <comment authorId="0" ref="H7">
      <text>
        <t xml:space="preserve">Período autorizado 
21/07/2026 a 20/08/2026</t>
      </text>
    </comment>
    <comment authorId="0" ref="H6">
      <text>
        <t xml:space="preserve">Período autorizado
-21/07 a 20/08/2026
</t>
      </text>
    </comment>
    <comment authorId="0" ref="H5">
      <text>
        <t xml:space="preserve">Período autorizado 
21/07/2026 a 20/08/2026
</t>
      </text>
    </comment>
    <comment authorId="0" ref="H4">
      <text>
        <t xml:space="preserve">Período autorizado 
21/07/2026 a 20/08/2026</t>
      </text>
    </comment>
    <comment authorId="0" ref="H3">
      <text>
        <t xml:space="preserve">Período autorizado 
21/07/2026 a 20/08/2026
</t>
      </text>
    </comment>
    <comment authorId="0" ref="H2">
      <text>
        <t xml:space="preserve">Período autorizado 
21/07/2026 a 20/08/2026</t>
      </text>
    </comment>
    <comment authorId="0" ref="B8">
      <text>
        <t xml:space="preserve">DN: 19/02/2024</t>
      </text>
    </comment>
    <comment authorId="0" ref="B7">
      <text>
        <t xml:space="preserve">DN: 19/02/2024</t>
      </text>
    </comment>
    <comment authorId="0" ref="B6">
      <text>
        <t xml:space="preserve">DN: 08/07/1964</t>
      </text>
    </comment>
    <comment authorId="0" ref="B5">
      <text>
        <t xml:space="preserve">DN: 20/03/1997
</t>
      </text>
    </comment>
    <comment authorId="0" ref="B4">
      <text>
        <t xml:space="preserve">DN: 24/12/2022</t>
      </text>
    </comment>
    <comment authorId="0" ref="B3">
      <text>
        <t xml:space="preserve">DN: 16/06/68</t>
      </text>
    </comment>
  </commentList>
</comments>
</file>

<file path=xl/sharedStrings.xml><?xml version="1.0" encoding="utf-8"?>
<sst xmlns="http://schemas.openxmlformats.org/spreadsheetml/2006/main" count="721" uniqueCount="89">
  <si>
    <t>STATUS</t>
  </si>
  <si>
    <t>PACIENTES</t>
  </si>
  <si>
    <t>MOTIVO</t>
  </si>
  <si>
    <t>DATA</t>
  </si>
  <si>
    <t>CIDADE</t>
  </si>
  <si>
    <t>PROFISSIONAIS</t>
  </si>
  <si>
    <t>CONTATO</t>
  </si>
  <si>
    <t>PAD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</si>
  <si>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</si>
  <si>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</si>
  <si>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</si>
  <si>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</si>
  <si>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</si>
  <si>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</si>
  <si>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</si>
  <si>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</si>
  <si>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</si>
  <si>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</si>
  <si>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</si>
  <si>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</si>
  <si>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</si>
  <si>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</si>
  <si>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</si>
  <si>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</si>
  <si>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</si>
  <si>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</si>
  <si>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</si>
  <si>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</si>
  <si>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</si>
  <si>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</si>
  <si>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</si>
  <si>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</si>
  <si>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</si>
  <si>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</si>
  <si>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</si>
  <si>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</si>
  <si>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</si>
  <si>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</si>
  <si>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</si>
  <si>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</si>
  <si>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INTERNAÇÃO</t>
  </si>
  <si>
    <t>EDINAMARA APARECIDA BISPO DE SOUZA</t>
  </si>
  <si>
    <t>NOVO PACIENTE</t>
  </si>
  <si>
    <t>BURITAMA</t>
  </si>
  <si>
    <t>Aldicéia Ribeiro Ferrari Gomes</t>
  </si>
  <si>
    <t>18 99719-7521</t>
  </si>
  <si>
    <t>2X/SEMANA</t>
  </si>
  <si>
    <t>PENDENCIA</t>
  </si>
  <si>
    <t xml:space="preserve">THEREZA VICENTIM CHERONE </t>
  </si>
  <si>
    <t>READMISSÃO</t>
  </si>
  <si>
    <t>JOSE BONIFACIO</t>
  </si>
  <si>
    <t>André Fortini Propheta </t>
  </si>
  <si>
    <t>14 98232-9049</t>
  </si>
  <si>
    <t>1X/SEMANA</t>
  </si>
  <si>
    <t>ÓBITO</t>
  </si>
  <si>
    <t>ALTA TOTAL</t>
  </si>
  <si>
    <t xml:space="preserve"> BENJAMIM AMADO DE ALVARENGA CAMPOS</t>
  </si>
  <si>
    <t>SÃO JOSE DO RIO PRETO</t>
  </si>
  <si>
    <t>INTENSIFICAÇÃO</t>
  </si>
  <si>
    <t>Nicole Beltrame</t>
  </si>
  <si>
    <t>41 9884-8472</t>
  </si>
  <si>
    <t>AVALIAÇÃO</t>
  </si>
  <si>
    <t xml:space="preserve"> IGOR GUILHERME BARBOSA ROSSI DA SILVA</t>
  </si>
  <si>
    <t>Nicole Beltrame Medeiros de Souza</t>
  </si>
  <si>
    <t>TROCA</t>
  </si>
  <si>
    <t>Carolina Bastos Plotegher</t>
  </si>
  <si>
    <t>17 99669-3064</t>
  </si>
  <si>
    <t xml:space="preserve">MARCELO EDUARDO QUEIROZ ALMEIDA NETO </t>
  </si>
  <si>
    <t>JOSE CARLOS VALE</t>
  </si>
  <si>
    <t>MIRASSOL</t>
  </si>
  <si>
    <t>Nicole Beltrame Medeiros</t>
  </si>
  <si>
    <t>EMANUEL LOHAN ALVES DE LIMA</t>
  </si>
  <si>
    <t xml:space="preserve">SÃO JOSE DO RIO PRETO </t>
  </si>
  <si>
    <t xml:space="preserve"> Carolina Bastos Plotegher</t>
  </si>
  <si>
    <t xml:space="preserve"> 41 9884-8472</t>
  </si>
  <si>
    <t>IGOR GUILHERME BARBOSA ROSSI DA SILVA</t>
  </si>
  <si>
    <t xml:space="preserve">Nicole Beltrame </t>
  </si>
  <si>
    <t>41 9884-8472</t>
  </si>
  <si>
    <t>EXECUÇÃO</t>
  </si>
  <si>
    <t>ALTA</t>
  </si>
  <si>
    <t>OK 9</t>
  </si>
  <si>
    <t xml:space="preserve"> </t>
  </si>
  <si>
    <t>Flávia Aparecida Torres de Lima Cabelo</t>
  </si>
  <si>
    <t>17 99725-5676</t>
  </si>
  <si>
    <t>OK 5</t>
  </si>
  <si>
    <t xml:space="preserve">PENDENCIA </t>
  </si>
  <si>
    <t>OK 4</t>
  </si>
  <si>
    <t>17 99725-5676</t>
  </si>
  <si>
    <t>OK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</si>
</sst>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6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0.0"/>
      <color rgb="FFFFFFFF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color theme="1"/>
      <name val="Arial"/>
      <scheme val="minor"/>
    </font>
    <font>
      <sz val="12.0"/>
      <color rgb="FF242424"/>
      <name val="&quot;Calibri&quot;"/>
    </font>
    <font>
      <sz val="12.0"/>
      <color rgb="FF242424"/>
      <name val="Calibri"/>
    </font>
    <font>
      <sz val="11.0"/>
      <color rgb="FF242424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b/>
      <color theme="1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1" fillId="3" fontId="2" numFmtId="49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center" readingOrder="0"/>
    </xf>
    <xf borderId="3" fillId="0" fontId="4" numFmtId="49" xfId="0" applyAlignment="1" applyBorder="1" applyFont="1" applyNumberFormat="1">
      <alignment horizontal="center" readingOrder="0" vertical="bottom"/>
    </xf>
    <xf borderId="2" fillId="0" fontId="3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4" fontId="3" numFmtId="49" xfId="0" applyAlignment="1" applyBorder="1" applyFill="1" applyFont="1" applyNumberFormat="1">
      <alignment horizontal="center" readingOrder="0" vertical="bottom"/>
    </xf>
    <xf borderId="2" fillId="0" fontId="3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4" fillId="5" fontId="4" numFmtId="49" xfId="0" applyAlignment="1" applyBorder="1" applyFill="1" applyFont="1" applyNumberFormat="1">
      <alignment horizontal="center" vertical="bottom"/>
    </xf>
    <xf borderId="1" fillId="4" fontId="6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" fillId="4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4" fillId="6" fontId="2" numFmtId="165" xfId="0" applyAlignment="1" applyBorder="1" applyFill="1" applyFont="1" applyNumberFormat="1">
      <alignment horizontal="center" vertical="bottom"/>
    </xf>
    <xf borderId="1" fillId="7" fontId="4" numFmtId="49" xfId="0" applyAlignment="1" applyBorder="1" applyFill="1" applyFont="1" applyNumberFormat="1">
      <alignment horizontal="center" vertical="bottom"/>
    </xf>
    <xf borderId="1" fillId="4" fontId="4" numFmtId="49" xfId="0" applyAlignment="1" applyBorder="1" applyFont="1" applyNumberFormat="1">
      <alignment horizontal="center" vertical="bottom"/>
    </xf>
    <xf borderId="3" fillId="4" fontId="7" numFmtId="49" xfId="0" applyAlignment="1" applyBorder="1" applyFont="1" applyNumberForma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8" numFmtId="0" xfId="0" applyBorder="1" applyFont="1"/>
    <xf borderId="5" fillId="6" fontId="2" numFmtId="165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horizontal="center" readingOrder="0"/>
    </xf>
    <xf borderId="0" fillId="4" fontId="2" numFmtId="165" xfId="0" applyAlignment="1" applyFont="1" applyNumberFormat="1">
      <alignment horizontal="center" vertical="bottom"/>
    </xf>
    <xf borderId="0" fillId="4" fontId="10" numFmtId="0" xfId="0" applyAlignment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2" fillId="0" fontId="8" numFmtId="164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8" numFmtId="0" xfId="0" applyBorder="1" applyFont="1"/>
    <xf borderId="5" fillId="6" fontId="1" numFmtId="165" xfId="0" applyAlignment="1" applyBorder="1" applyFont="1" applyNumberFormat="1">
      <alignment horizontal="center" vertical="bottom"/>
    </xf>
    <xf borderId="3" fillId="0" fontId="5" numFmtId="49" xfId="0" applyAlignment="1" applyBorder="1" applyFont="1" applyNumberFormat="1">
      <alignment horizontal="center" readingOrder="0" vertical="bottom"/>
    </xf>
    <xf borderId="1" fillId="0" fontId="11" numFmtId="0" xfId="0" applyAlignment="1" applyBorder="1" applyFont="1">
      <alignment horizontal="center" readingOrder="0"/>
    </xf>
    <xf borderId="2" fillId="0" fontId="3" numFmtId="0" xfId="0" applyBorder="1" applyFont="1"/>
    <xf borderId="0" fillId="7" fontId="12" numFmtId="0" xfId="0" applyAlignment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2" fontId="1" numFmtId="49" xfId="0" applyAlignment="1" applyBorder="1" applyFont="1" applyNumberFormat="1">
      <alignment horizontal="center" readingOrder="0" vertical="bottom"/>
    </xf>
    <xf borderId="1" fillId="7" fontId="13" numFmtId="0" xfId="0" applyAlignment="1" applyBorder="1" applyFont="1">
      <alignment horizontal="center" readingOrder="0"/>
    </xf>
    <xf borderId="1" fillId="7" fontId="14" numFmtId="49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3" fontId="14" numFmtId="49" xfId="0" applyAlignment="1" applyBorder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 readingOrder="0" vertical="bottom"/>
    </xf>
    <xf borderId="1" fillId="6" fontId="14" numFmtId="4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5" fontId="14" numFmtId="49" xfId="0" applyAlignment="1" applyBorder="1" applyFont="1" applyNumberFormat="1">
      <alignment horizontal="center" vertical="bottom"/>
    </xf>
    <xf borderId="1" fillId="4" fontId="10" numFmtId="0" xfId="0" applyAlignment="1" applyBorder="1" applyFont="1">
      <alignment horizontal="center" readingOrder="0"/>
    </xf>
    <xf borderId="0" fillId="4" fontId="8" numFmtId="0" xfId="0" applyFont="1"/>
    <xf borderId="3" fillId="4" fontId="4" numFmtId="49" xfId="0" applyAlignment="1" applyBorder="1" applyFont="1" applyNumberForma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1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/>
    </xf>
    <xf borderId="3" fillId="4" fontId="3" numFmtId="0" xfId="0" applyAlignment="1" applyBorder="1" applyFont="1">
      <alignment horizontal="center"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75"/>
    <col customWidth="1" min="3" max="3" width="16.38"/>
    <col customWidth="1" min="5" max="5" width="16.0"/>
    <col customWidth="1" min="6" max="6" width="25.63"/>
    <col customWidth="1" min="7" max="7" width="14.13"/>
    <col customWidth="1" min="8" max="8" width="15.38"/>
    <col customWidth="1" min="9" max="39" width="3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4" t="s">
        <v>41</v>
      </c>
      <c r="C2" s="5" t="s">
        <v>42</v>
      </c>
      <c r="D2" s="6">
        <v>45982.0</v>
      </c>
      <c r="E2" s="7" t="s">
        <v>43</v>
      </c>
      <c r="F2" s="7" t="s">
        <v>44</v>
      </c>
      <c r="G2" s="7" t="s">
        <v>45</v>
      </c>
      <c r="H2" s="8" t="s">
        <v>46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>
        <v>0.0</v>
      </c>
    </row>
    <row r="3">
      <c r="A3" s="11" t="s">
        <v>47</v>
      </c>
      <c r="B3" s="14" t="s">
        <v>48</v>
      </c>
      <c r="C3" s="5" t="s">
        <v>42</v>
      </c>
      <c r="D3" s="13">
        <v>45965.0</v>
      </c>
      <c r="E3" s="4" t="s">
        <v>50</v>
      </c>
      <c r="F3" s="4" t="s">
        <v>51</v>
      </c>
      <c r="G3" s="4" t="s">
        <v>52</v>
      </c>
      <c r="H3" s="8" t="s">
        <v>53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4"/>
      <c r="AI3" s="14"/>
      <c r="AJ3" s="14"/>
      <c r="AK3" s="14"/>
      <c r="AL3" s="14"/>
      <c r="AM3" s="14"/>
      <c r="AN3" s="18">
        <v>0.0</v>
      </c>
    </row>
    <row r="4">
      <c r="A4" s="19" t="s">
        <v>54</v>
      </c>
    </row>
    <row r="5">
      <c r="A5" s="20" t="s">
        <v>55</v>
      </c>
    </row>
    <row r="6">
      <c r="A6" s="21"/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"NOVO PACIENTE,READMISSÃO,TROCA,INTENSIFICAÇÃO,DESMAME,COBERTURA"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75"/>
    <col customWidth="1" min="3" max="3" width="16.38"/>
    <col customWidth="1" min="5" max="5" width="16.0"/>
    <col customWidth="1" min="6" max="6" width="25.63"/>
    <col customWidth="1" min="7" max="7" width="14.13"/>
    <col customWidth="1" min="8" max="8" width="15.38"/>
    <col customWidth="1" min="9" max="39" width="3.38"/>
    <col customWidth="1" min="40" max="40" width="8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4" t="s">
        <v>41</v>
      </c>
      <c r="C2" s="5"/>
      <c r="D2" s="6"/>
      <c r="E2" s="7" t="s">
        <v>43</v>
      </c>
      <c r="F2" s="7" t="s">
        <v>44</v>
      </c>
      <c r="G2" s="7" t="s">
        <v>45</v>
      </c>
      <c r="H2" s="8" t="s">
        <v>46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>
        <v>0.0</v>
      </c>
    </row>
    <row r="3">
      <c r="A3" s="11" t="s">
        <v>47</v>
      </c>
      <c r="B3" s="12" t="s">
        <v>48</v>
      </c>
      <c r="C3" s="5" t="s">
        <v>49</v>
      </c>
      <c r="D3" s="13">
        <v>45993.0</v>
      </c>
      <c r="E3" s="4" t="s">
        <v>50</v>
      </c>
      <c r="F3" s="4" t="s">
        <v>51</v>
      </c>
      <c r="G3" s="4" t="s">
        <v>52</v>
      </c>
      <c r="H3" s="8" t="s">
        <v>53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6"/>
      <c r="AH3" s="17"/>
      <c r="AI3" s="17"/>
      <c r="AJ3" s="17"/>
      <c r="AK3" s="17"/>
      <c r="AL3" s="17"/>
      <c r="AM3" s="17"/>
      <c r="AN3" s="18">
        <v>0.0</v>
      </c>
    </row>
    <row r="4">
      <c r="A4" s="19" t="s">
        <v>54</v>
      </c>
    </row>
    <row r="5">
      <c r="A5" s="20" t="s">
        <v>55</v>
      </c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"NOVO PACIENTE,READMISSÃO,TROCA,INTENSIFICAÇÃO,DESMAME,COBERTURA"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75"/>
    <col customWidth="1" min="3" max="3" width="16.38"/>
    <col customWidth="1" min="5" max="5" width="16.0"/>
    <col customWidth="1" min="6" max="6" width="25.63"/>
    <col customWidth="1" min="7" max="7" width="14.13"/>
    <col customWidth="1" min="8" max="8" width="15.38"/>
    <col customWidth="1" min="9" max="39" width="3.38"/>
    <col customWidth="1" min="40" max="40" width="8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4" t="s">
        <v>41</v>
      </c>
      <c r="C2" s="5"/>
      <c r="D2" s="6"/>
      <c r="E2" s="7" t="s">
        <v>43</v>
      </c>
      <c r="F2" s="7" t="s">
        <v>44</v>
      </c>
      <c r="G2" s="7" t="s">
        <v>45</v>
      </c>
      <c r="H2" s="8" t="s">
        <v>46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>
        <v>0.0</v>
      </c>
    </row>
    <row r="3">
      <c r="A3" s="11" t="s">
        <v>47</v>
      </c>
      <c r="B3" s="12" t="s">
        <v>48</v>
      </c>
      <c r="C3" s="5"/>
      <c r="D3" s="13"/>
      <c r="E3" s="4" t="s">
        <v>50</v>
      </c>
      <c r="F3" s="4" t="s">
        <v>51</v>
      </c>
      <c r="G3" s="4" t="s">
        <v>52</v>
      </c>
      <c r="H3" s="8" t="s">
        <v>53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6"/>
      <c r="AH3" s="17"/>
      <c r="AI3" s="17"/>
      <c r="AJ3" s="17"/>
      <c r="AK3" s="17"/>
      <c r="AL3" s="17"/>
      <c r="AM3" s="17"/>
      <c r="AN3" s="18">
        <v>0.0</v>
      </c>
    </row>
    <row r="4">
      <c r="A4" s="19" t="s">
        <v>54</v>
      </c>
    </row>
    <row r="5">
      <c r="A5" s="20" t="s">
        <v>55</v>
      </c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"NOVO PACIENTE,READMISSÃO,TROCA,INTENSIFICAÇÃO,DESMAME,COBERTURA"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75"/>
    <col customWidth="1" min="3" max="3" width="16.38"/>
    <col customWidth="1" min="5" max="5" width="16.0"/>
    <col customWidth="1" min="6" max="6" width="25.63"/>
    <col customWidth="1" min="7" max="7" width="14.13"/>
    <col customWidth="1" min="8" max="8" width="15.38"/>
    <col customWidth="1" min="9" max="39" width="3.38"/>
    <col customWidth="1" min="40" max="40" width="8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4" t="s">
        <v>41</v>
      </c>
      <c r="C2" s="5"/>
      <c r="D2" s="6"/>
      <c r="E2" s="7" t="s">
        <v>43</v>
      </c>
      <c r="F2" s="7" t="s">
        <v>44</v>
      </c>
      <c r="G2" s="7" t="s">
        <v>45</v>
      </c>
      <c r="H2" s="8" t="s">
        <v>46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>
        <v>0.0</v>
      </c>
    </row>
    <row r="3">
      <c r="A3" s="11" t="s">
        <v>47</v>
      </c>
      <c r="B3" s="12" t="s">
        <v>48</v>
      </c>
      <c r="C3" s="5"/>
      <c r="D3" s="13"/>
      <c r="E3" s="4" t="s">
        <v>50</v>
      </c>
      <c r="F3" s="4" t="s">
        <v>51</v>
      </c>
      <c r="G3" s="4" t="s">
        <v>52</v>
      </c>
      <c r="H3" s="8" t="s">
        <v>53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6"/>
      <c r="AH3" s="17"/>
      <c r="AI3" s="17"/>
      <c r="AJ3" s="17"/>
      <c r="AK3" s="17"/>
      <c r="AL3" s="17"/>
      <c r="AM3" s="17"/>
      <c r="AN3" s="18">
        <v>0.0</v>
      </c>
    </row>
    <row r="4">
      <c r="A4" s="19" t="s">
        <v>54</v>
      </c>
    </row>
    <row r="5">
      <c r="A5" s="20" t="s">
        <v>55</v>
      </c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"NOVO PACIENTE,READMISSÃO,TROCA,INTENSIFICAÇÃO,DESMAME,COBERTURA"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  <col customWidth="1" min="3" max="3" width="19.0"/>
    <col customWidth="1" min="5" max="5" width="23.5"/>
    <col customWidth="1" min="6" max="6" width="26.63"/>
    <col customWidth="1" min="7" max="7" width="15.13"/>
    <col customWidth="1" min="8" max="8" width="15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/>
      <c r="B2" s="4" t="s">
        <v>56</v>
      </c>
      <c r="C2" s="5" t="s">
        <v>58</v>
      </c>
      <c r="D2" s="6">
        <v>46101.0</v>
      </c>
      <c r="E2" s="7" t="s">
        <v>57</v>
      </c>
      <c r="F2" s="7" t="s">
        <v>59</v>
      </c>
      <c r="G2" s="7" t="s">
        <v>60</v>
      </c>
      <c r="H2" s="8" t="s">
        <v>46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</row>
    <row r="3">
      <c r="A3" s="3"/>
      <c r="B3" s="4" t="s">
        <v>56</v>
      </c>
      <c r="C3" s="5" t="s">
        <v>42</v>
      </c>
      <c r="D3" s="6">
        <v>46092.0</v>
      </c>
      <c r="E3" s="7" t="s">
        <v>57</v>
      </c>
      <c r="F3" s="7" t="s">
        <v>59</v>
      </c>
      <c r="G3" s="7" t="s">
        <v>60</v>
      </c>
      <c r="H3" s="22" t="s">
        <v>61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/>
    </row>
    <row r="4">
      <c r="A4" s="3" t="s">
        <v>40</v>
      </c>
      <c r="B4" s="4" t="s">
        <v>41</v>
      </c>
      <c r="C4" s="5"/>
      <c r="D4" s="6"/>
      <c r="E4" s="7" t="s">
        <v>43</v>
      </c>
      <c r="F4" s="7" t="s">
        <v>44</v>
      </c>
      <c r="G4" s="7" t="s">
        <v>45</v>
      </c>
      <c r="H4" s="8" t="s">
        <v>46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>
        <v>0.0</v>
      </c>
    </row>
    <row r="5">
      <c r="A5" s="11" t="s">
        <v>47</v>
      </c>
      <c r="B5" s="12" t="s">
        <v>48</v>
      </c>
      <c r="C5" s="5"/>
      <c r="D5" s="13"/>
      <c r="E5" s="4" t="s">
        <v>50</v>
      </c>
      <c r="F5" s="4" t="s">
        <v>51</v>
      </c>
      <c r="G5" s="4" t="s">
        <v>52</v>
      </c>
      <c r="H5" s="8" t="s">
        <v>53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6"/>
      <c r="AH5" s="17"/>
      <c r="AI5" s="17"/>
      <c r="AJ5" s="17"/>
      <c r="AK5" s="17"/>
      <c r="AL5" s="17"/>
      <c r="AM5" s="17"/>
      <c r="AN5" s="18">
        <v>0.0</v>
      </c>
    </row>
    <row r="6">
      <c r="A6" s="19" t="s">
        <v>54</v>
      </c>
    </row>
    <row r="7">
      <c r="A7" s="20" t="s">
        <v>55</v>
      </c>
    </row>
  </sheetData>
  <dataValidations>
    <dataValidation type="list" allowBlank="1" showErrorMessage="1" sqref="H2:H5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5">
      <formula1>"NOVO PACIENTE,READMISSÃO,TROCA,INTENSIFICAÇÃO,DESMAME,COBERTURA"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  <col customWidth="1" min="3" max="3" width="19.0"/>
    <col customWidth="1" min="5" max="5" width="23.5"/>
    <col customWidth="1" min="6" max="6" width="28.25"/>
    <col customWidth="1" min="7" max="7" width="15.13"/>
    <col customWidth="1" min="8" max="8" width="15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4" t="s">
        <v>56</v>
      </c>
      <c r="C2" s="5"/>
      <c r="D2" s="6"/>
      <c r="E2" s="7" t="s">
        <v>57</v>
      </c>
      <c r="F2" s="7" t="s">
        <v>59</v>
      </c>
      <c r="G2" s="7" t="s">
        <v>60</v>
      </c>
      <c r="H2" s="8" t="s">
        <v>46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</row>
    <row r="3">
      <c r="A3" s="11" t="s">
        <v>47</v>
      </c>
      <c r="B3" s="4" t="s">
        <v>41</v>
      </c>
      <c r="C3" s="5"/>
      <c r="D3" s="6"/>
      <c r="E3" s="7" t="s">
        <v>43</v>
      </c>
      <c r="F3" s="7" t="s">
        <v>44</v>
      </c>
      <c r="G3" s="7" t="s">
        <v>45</v>
      </c>
      <c r="H3" s="8" t="s">
        <v>46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>
        <v>0.0</v>
      </c>
    </row>
    <row r="4">
      <c r="A4" s="20" t="s">
        <v>55</v>
      </c>
      <c r="B4" s="23" t="s">
        <v>62</v>
      </c>
      <c r="C4" s="5" t="s">
        <v>42</v>
      </c>
      <c r="D4" s="24">
        <v>46114.0</v>
      </c>
      <c r="E4" s="23" t="s">
        <v>57</v>
      </c>
      <c r="F4" s="23" t="s">
        <v>63</v>
      </c>
      <c r="G4" s="23" t="s">
        <v>60</v>
      </c>
      <c r="H4" s="8" t="s">
        <v>61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>
      <c r="A5" s="26" t="s">
        <v>54</v>
      </c>
      <c r="B5" s="23" t="s">
        <v>62</v>
      </c>
      <c r="C5" s="5" t="s">
        <v>64</v>
      </c>
      <c r="D5" s="24">
        <v>46125.0</v>
      </c>
      <c r="E5" s="23" t="s">
        <v>57</v>
      </c>
      <c r="F5" s="23" t="s">
        <v>65</v>
      </c>
      <c r="G5" s="27" t="s">
        <v>66</v>
      </c>
      <c r="H5" s="8" t="s">
        <v>53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>
      <c r="A6" s="28"/>
      <c r="B6" s="12" t="s">
        <v>67</v>
      </c>
      <c r="C6" s="5" t="s">
        <v>42</v>
      </c>
      <c r="D6" s="13">
        <v>46125.0</v>
      </c>
      <c r="E6" s="4" t="s">
        <v>57</v>
      </c>
      <c r="F6" s="4" t="s">
        <v>65</v>
      </c>
      <c r="G6" s="27" t="s">
        <v>66</v>
      </c>
      <c r="H6" s="8" t="s">
        <v>61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6"/>
      <c r="AH6" s="17"/>
      <c r="AI6" s="17"/>
      <c r="AJ6" s="17"/>
      <c r="AK6" s="17"/>
      <c r="AL6" s="17"/>
      <c r="AM6" s="17"/>
      <c r="AN6" s="18"/>
    </row>
    <row r="7">
      <c r="A7" s="28"/>
      <c r="B7" s="12" t="s">
        <v>67</v>
      </c>
      <c r="C7" s="5"/>
      <c r="D7" s="13"/>
      <c r="E7" s="4" t="s">
        <v>57</v>
      </c>
      <c r="F7" s="4" t="s">
        <v>65</v>
      </c>
      <c r="G7" s="27" t="s">
        <v>66</v>
      </c>
      <c r="H7" s="8" t="s">
        <v>53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6"/>
      <c r="AH7" s="17"/>
      <c r="AI7" s="17"/>
      <c r="AJ7" s="17"/>
      <c r="AK7" s="17"/>
      <c r="AL7" s="17"/>
      <c r="AM7" s="17"/>
      <c r="AN7" s="18"/>
    </row>
    <row r="8">
      <c r="A8" s="28"/>
      <c r="B8" s="12" t="s">
        <v>48</v>
      </c>
      <c r="C8" s="5"/>
      <c r="D8" s="13"/>
      <c r="E8" s="4" t="s">
        <v>50</v>
      </c>
      <c r="F8" s="4" t="s">
        <v>51</v>
      </c>
      <c r="G8" s="4" t="s">
        <v>52</v>
      </c>
      <c r="H8" s="8" t="s">
        <v>53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6"/>
      <c r="AH8" s="17"/>
      <c r="AI8" s="17"/>
      <c r="AJ8" s="17"/>
      <c r="AK8" s="17"/>
      <c r="AL8" s="17"/>
      <c r="AM8" s="17"/>
      <c r="AN8" s="18">
        <v>0.0</v>
      </c>
    </row>
  </sheetData>
  <dataValidations>
    <dataValidation type="list" allowBlank="1" showErrorMessage="1" sqref="H2:H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8">
      <formula1>"NOVO PACIENTE,READMISSÃO,TROCA,INTENSIFICAÇÃO,DESMAME,COBERTURA"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  <col customWidth="1" min="3" max="3" width="19.0"/>
    <col customWidth="1" min="5" max="5" width="23.5"/>
    <col customWidth="1" min="6" max="6" width="28.25"/>
    <col customWidth="1" min="7" max="7" width="15.13"/>
    <col customWidth="1" min="8" max="8" width="15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4" t="s">
        <v>56</v>
      </c>
      <c r="C2" s="5"/>
      <c r="D2" s="6"/>
      <c r="E2" s="7" t="s">
        <v>57</v>
      </c>
      <c r="F2" s="7" t="s">
        <v>59</v>
      </c>
      <c r="G2" s="7" t="s">
        <v>60</v>
      </c>
      <c r="H2" s="8" t="s">
        <v>46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</row>
    <row r="3">
      <c r="A3" s="11" t="s">
        <v>47</v>
      </c>
      <c r="B3" s="4" t="s">
        <v>41</v>
      </c>
      <c r="C3" s="5"/>
      <c r="D3" s="6"/>
      <c r="E3" s="7" t="s">
        <v>43</v>
      </c>
      <c r="F3" s="7" t="s">
        <v>44</v>
      </c>
      <c r="G3" s="7" t="s">
        <v>45</v>
      </c>
      <c r="H3" s="8" t="s">
        <v>46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>
        <v>0.0</v>
      </c>
    </row>
    <row r="4">
      <c r="A4" s="20" t="s">
        <v>55</v>
      </c>
      <c r="B4" s="23" t="s">
        <v>62</v>
      </c>
      <c r="C4" s="5"/>
      <c r="D4" s="24">
        <v>46114.0</v>
      </c>
      <c r="E4" s="23" t="s">
        <v>57</v>
      </c>
      <c r="F4" s="23" t="s">
        <v>63</v>
      </c>
      <c r="G4" s="23" t="s">
        <v>60</v>
      </c>
      <c r="H4" s="8" t="s">
        <v>61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>
      <c r="A5" s="26" t="s">
        <v>54</v>
      </c>
      <c r="B5" s="23" t="s">
        <v>62</v>
      </c>
      <c r="C5" s="5"/>
      <c r="D5" s="24">
        <v>46125.0</v>
      </c>
      <c r="E5" s="23" t="s">
        <v>57</v>
      </c>
      <c r="F5" s="23" t="s">
        <v>65</v>
      </c>
      <c r="G5" s="27" t="s">
        <v>66</v>
      </c>
      <c r="H5" s="8" t="s">
        <v>53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>
      <c r="A6" s="28"/>
      <c r="B6" s="12" t="s">
        <v>68</v>
      </c>
      <c r="C6" s="5" t="s">
        <v>42</v>
      </c>
      <c r="D6" s="13">
        <v>46146.0</v>
      </c>
      <c r="E6" s="4" t="s">
        <v>69</v>
      </c>
      <c r="F6" s="29" t="s">
        <v>70</v>
      </c>
      <c r="G6" s="29" t="s">
        <v>60</v>
      </c>
      <c r="H6" s="8" t="s">
        <v>53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6"/>
      <c r="AH6" s="17"/>
      <c r="AI6" s="17"/>
      <c r="AJ6" s="17"/>
      <c r="AK6" s="17"/>
      <c r="AL6" s="17"/>
      <c r="AM6" s="17"/>
      <c r="AN6" s="18"/>
    </row>
    <row r="7">
      <c r="A7" s="28"/>
      <c r="B7" s="12" t="s">
        <v>67</v>
      </c>
      <c r="C7" s="5"/>
      <c r="D7" s="13">
        <v>46125.0</v>
      </c>
      <c r="E7" s="4" t="s">
        <v>57</v>
      </c>
      <c r="F7" s="4" t="s">
        <v>65</v>
      </c>
      <c r="G7" s="27" t="s">
        <v>66</v>
      </c>
      <c r="H7" s="8" t="s">
        <v>61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6"/>
      <c r="AH7" s="17"/>
      <c r="AI7" s="17"/>
      <c r="AJ7" s="17"/>
      <c r="AK7" s="17"/>
      <c r="AL7" s="17"/>
      <c r="AM7" s="17"/>
      <c r="AN7" s="18"/>
    </row>
    <row r="8">
      <c r="A8" s="28"/>
      <c r="B8" s="12" t="s">
        <v>67</v>
      </c>
      <c r="C8" s="5"/>
      <c r="D8" s="13"/>
      <c r="E8" s="4" t="s">
        <v>57</v>
      </c>
      <c r="F8" s="4" t="s">
        <v>65</v>
      </c>
      <c r="G8" s="27" t="s">
        <v>66</v>
      </c>
      <c r="H8" s="8" t="s">
        <v>53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6"/>
      <c r="AH8" s="17"/>
      <c r="AI8" s="17"/>
      <c r="AJ8" s="17"/>
      <c r="AK8" s="17"/>
      <c r="AL8" s="17"/>
      <c r="AM8" s="17"/>
      <c r="AN8" s="18"/>
    </row>
    <row r="9">
      <c r="A9" s="28"/>
      <c r="B9" s="12" t="s">
        <v>48</v>
      </c>
      <c r="C9" s="5"/>
      <c r="D9" s="13"/>
      <c r="E9" s="4" t="s">
        <v>50</v>
      </c>
      <c r="F9" s="4" t="s">
        <v>51</v>
      </c>
      <c r="G9" s="4" t="s">
        <v>52</v>
      </c>
      <c r="H9" s="8" t="s">
        <v>53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6"/>
      <c r="AH9" s="17"/>
      <c r="AI9" s="17"/>
      <c r="AJ9" s="17"/>
      <c r="AK9" s="17"/>
      <c r="AL9" s="17"/>
      <c r="AM9" s="17"/>
      <c r="AN9" s="18">
        <v>0.0</v>
      </c>
    </row>
  </sheetData>
  <dataValidations>
    <dataValidation type="list" allowBlank="1" showErrorMessage="1" sqref="H2:H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9">
      <formula1>"NOVO PACIENTE,READMISSÃO,TROCA,INTENSIFICAÇÃO,DESMAME,COBERTURA"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1.75"/>
    <col customWidth="1" min="3" max="3" width="19.0"/>
    <col customWidth="1" min="5" max="5" width="23.5"/>
    <col customWidth="1" min="6" max="6" width="33.5"/>
    <col customWidth="1" min="7" max="7" width="15.13"/>
    <col customWidth="1" min="8" max="8" width="15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4" t="s">
        <v>56</v>
      </c>
      <c r="C2" s="5"/>
      <c r="D2" s="6"/>
      <c r="E2" s="7" t="s">
        <v>57</v>
      </c>
      <c r="F2" s="7" t="s">
        <v>59</v>
      </c>
      <c r="G2" s="7" t="s">
        <v>60</v>
      </c>
      <c r="H2" s="8" t="s">
        <v>46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>
        <v>0.0</v>
      </c>
    </row>
    <row r="3">
      <c r="A3" s="11" t="s">
        <v>47</v>
      </c>
      <c r="B3" s="4" t="s">
        <v>41</v>
      </c>
      <c r="C3" s="5"/>
      <c r="D3" s="6"/>
      <c r="E3" s="7" t="s">
        <v>43</v>
      </c>
      <c r="F3" s="7" t="s">
        <v>44</v>
      </c>
      <c r="G3" s="7" t="s">
        <v>45</v>
      </c>
      <c r="H3" s="8" t="s">
        <v>46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>
        <v>0.0</v>
      </c>
    </row>
    <row r="4">
      <c r="A4" s="26"/>
      <c r="B4" s="30" t="s">
        <v>71</v>
      </c>
      <c r="C4" s="5" t="s">
        <v>42</v>
      </c>
      <c r="D4" s="31">
        <v>46185.0</v>
      </c>
      <c r="E4" s="32" t="s">
        <v>72</v>
      </c>
      <c r="F4" s="32" t="s">
        <v>73</v>
      </c>
      <c r="G4" s="27" t="s">
        <v>66</v>
      </c>
      <c r="H4" s="8" t="s">
        <v>61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2"/>
    </row>
    <row r="5">
      <c r="A5" s="34"/>
      <c r="B5" s="4" t="s">
        <v>71</v>
      </c>
      <c r="C5" s="35" t="s">
        <v>42</v>
      </c>
      <c r="D5" s="6">
        <v>46195.0</v>
      </c>
      <c r="E5" s="7" t="s">
        <v>57</v>
      </c>
      <c r="F5" s="7" t="s">
        <v>63</v>
      </c>
      <c r="G5" s="36" t="s">
        <v>74</v>
      </c>
      <c r="H5" s="8" t="s">
        <v>61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7"/>
    </row>
    <row r="6">
      <c r="A6" s="26" t="s">
        <v>54</v>
      </c>
      <c r="B6" s="23" t="s">
        <v>62</v>
      </c>
      <c r="C6" s="5"/>
      <c r="D6" s="24"/>
      <c r="E6" s="23" t="s">
        <v>57</v>
      </c>
      <c r="F6" s="23" t="s">
        <v>65</v>
      </c>
      <c r="G6" s="27" t="s">
        <v>66</v>
      </c>
      <c r="H6" s="8" t="s">
        <v>53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3">
        <v>0.0</v>
      </c>
    </row>
    <row r="7">
      <c r="A7" s="38" t="s">
        <v>55</v>
      </c>
      <c r="B7" s="12" t="s">
        <v>75</v>
      </c>
      <c r="C7" s="5" t="s">
        <v>64</v>
      </c>
      <c r="D7" s="13">
        <v>46189.0</v>
      </c>
      <c r="E7" s="7" t="s">
        <v>57</v>
      </c>
      <c r="F7" s="39" t="s">
        <v>76</v>
      </c>
      <c r="G7" s="39" t="s">
        <v>77</v>
      </c>
      <c r="H7" s="8" t="s">
        <v>53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6"/>
      <c r="AH7" s="17"/>
      <c r="AI7" s="17"/>
      <c r="AJ7" s="17"/>
      <c r="AK7" s="17"/>
      <c r="AL7" s="17"/>
      <c r="AM7" s="17"/>
      <c r="AN7" s="18"/>
    </row>
    <row r="8">
      <c r="B8" s="41" t="s">
        <v>68</v>
      </c>
      <c r="C8" s="5"/>
      <c r="D8" s="13"/>
      <c r="E8" s="4" t="s">
        <v>69</v>
      </c>
      <c r="F8" s="29" t="s">
        <v>70</v>
      </c>
      <c r="G8" s="39" t="s">
        <v>60</v>
      </c>
      <c r="H8" s="8" t="s">
        <v>53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18">
        <v>0.0</v>
      </c>
    </row>
    <row r="9">
      <c r="A9" s="28"/>
      <c r="B9" s="12" t="s">
        <v>67</v>
      </c>
      <c r="C9" s="5"/>
      <c r="D9" s="13"/>
      <c r="E9" s="4" t="s">
        <v>57</v>
      </c>
      <c r="F9" s="4" t="s">
        <v>65</v>
      </c>
      <c r="G9" s="27" t="s">
        <v>66</v>
      </c>
      <c r="H9" s="8" t="s">
        <v>53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6"/>
      <c r="AH9" s="17"/>
      <c r="AI9" s="17"/>
      <c r="AJ9" s="17"/>
      <c r="AK9" s="17"/>
      <c r="AL9" s="17"/>
      <c r="AM9" s="17"/>
      <c r="AN9" s="18">
        <v>0.0</v>
      </c>
    </row>
    <row r="10">
      <c r="A10" s="28"/>
      <c r="B10" s="12" t="s">
        <v>48</v>
      </c>
      <c r="C10" s="5"/>
      <c r="D10" s="13"/>
      <c r="E10" s="4" t="s">
        <v>50</v>
      </c>
      <c r="F10" s="4" t="s">
        <v>51</v>
      </c>
      <c r="G10" s="4" t="s">
        <v>52</v>
      </c>
      <c r="H10" s="8" t="s">
        <v>53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6"/>
      <c r="AH10" s="17"/>
      <c r="AI10" s="17"/>
      <c r="AJ10" s="17"/>
      <c r="AK10" s="17"/>
      <c r="AL10" s="17"/>
      <c r="AM10" s="17"/>
      <c r="AN10" s="18">
        <v>0.0</v>
      </c>
    </row>
  </sheetData>
  <dataValidations>
    <dataValidation type="list" allowBlank="1" showErrorMessage="1" sqref="H2:H10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0">
      <formula1>"NOVO PACIENTE,READMISSÃO,TROCA,INTENSIFICAÇÃO,DESMAME,COBERTURA"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6.63"/>
    <col customWidth="1" min="3" max="3" width="19.0"/>
    <col customWidth="1" min="5" max="5" width="23.5"/>
    <col customWidth="1" min="6" max="6" width="33.5"/>
    <col customWidth="1" min="7" max="7" width="14.5"/>
    <col customWidth="1" min="8" max="8" width="15.88"/>
    <col customWidth="1" min="9" max="9" width="12.0"/>
    <col customWidth="1" min="10" max="40" width="4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0" t="s">
        <v>78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40" t="s">
        <v>39</v>
      </c>
    </row>
    <row r="2">
      <c r="A2" s="42" t="s">
        <v>79</v>
      </c>
      <c r="B2" s="4" t="s">
        <v>56</v>
      </c>
      <c r="C2" s="5"/>
      <c r="D2" s="6"/>
      <c r="E2" s="7" t="s">
        <v>57</v>
      </c>
      <c r="F2" s="7" t="s">
        <v>59</v>
      </c>
      <c r="G2" s="7" t="s">
        <v>60</v>
      </c>
      <c r="H2" s="8" t="s">
        <v>46</v>
      </c>
      <c r="I2" s="43" t="s">
        <v>80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44">
        <f t="shared" ref="AO2:AO5" si="1">SUM(J2:AN2)</f>
        <v>0</v>
      </c>
    </row>
    <row r="3">
      <c r="A3" s="45" t="s">
        <v>40</v>
      </c>
      <c r="B3" s="4" t="s">
        <v>41</v>
      </c>
      <c r="C3" s="5"/>
      <c r="D3" s="6"/>
      <c r="E3" s="7" t="s">
        <v>43</v>
      </c>
      <c r="F3" s="7" t="s">
        <v>44</v>
      </c>
      <c r="G3" s="7" t="s">
        <v>45</v>
      </c>
      <c r="H3" s="8" t="s">
        <v>46</v>
      </c>
      <c r="I3" s="43" t="s">
        <v>80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44">
        <f t="shared" si="1"/>
        <v>0</v>
      </c>
    </row>
    <row r="4">
      <c r="A4" s="47" t="s">
        <v>54</v>
      </c>
      <c r="B4" s="4" t="s">
        <v>71</v>
      </c>
      <c r="C4" s="35" t="s">
        <v>42</v>
      </c>
      <c r="D4" s="6">
        <v>46204.0</v>
      </c>
      <c r="E4" s="7" t="s">
        <v>57</v>
      </c>
      <c r="F4" s="48" t="s">
        <v>82</v>
      </c>
      <c r="G4" s="48" t="s">
        <v>83</v>
      </c>
      <c r="H4" s="8" t="s">
        <v>53</v>
      </c>
      <c r="I4" s="43" t="s">
        <v>84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44">
        <f t="shared" si="1"/>
        <v>0</v>
      </c>
    </row>
    <row r="5">
      <c r="A5" s="49" t="s">
        <v>85</v>
      </c>
      <c r="B5" s="12" t="s">
        <v>75</v>
      </c>
      <c r="C5" s="5"/>
      <c r="D5" s="13"/>
      <c r="E5" s="7" t="s">
        <v>57</v>
      </c>
      <c r="F5" s="50" t="s">
        <v>76</v>
      </c>
      <c r="G5" s="50" t="s">
        <v>77</v>
      </c>
      <c r="H5" s="8" t="s">
        <v>53</v>
      </c>
      <c r="I5" s="43" t="s">
        <v>84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/>
      <c r="AI5" s="17"/>
      <c r="AJ5" s="17"/>
      <c r="AK5" s="17"/>
      <c r="AL5" s="17"/>
      <c r="AM5" s="17"/>
      <c r="AN5" s="17"/>
      <c r="AO5" s="44">
        <f t="shared" si="1"/>
        <v>0</v>
      </c>
    </row>
    <row r="6">
      <c r="A6" s="51"/>
      <c r="B6" s="12" t="s">
        <v>68</v>
      </c>
      <c r="C6" s="52" t="s">
        <v>49</v>
      </c>
      <c r="D6" s="53">
        <v>46224.0</v>
      </c>
      <c r="E6" s="54" t="s">
        <v>69</v>
      </c>
      <c r="F6" s="29" t="s">
        <v>70</v>
      </c>
      <c r="G6" s="39" t="s">
        <v>60</v>
      </c>
      <c r="H6" s="8" t="s">
        <v>53</v>
      </c>
      <c r="I6" s="43" t="s">
        <v>86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44">
        <v>0.0</v>
      </c>
    </row>
    <row r="7">
      <c r="A7" s="28"/>
      <c r="B7" s="12" t="s">
        <v>67</v>
      </c>
      <c r="C7" s="5"/>
      <c r="D7" s="13"/>
      <c r="E7" s="4" t="s">
        <v>57</v>
      </c>
      <c r="F7" s="56" t="s">
        <v>65</v>
      </c>
      <c r="G7" s="57" t="s">
        <v>66</v>
      </c>
      <c r="H7" s="8" t="s">
        <v>53</v>
      </c>
      <c r="I7" s="43" t="s">
        <v>84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6"/>
      <c r="AI7" s="17"/>
      <c r="AJ7" s="17"/>
      <c r="AK7" s="17"/>
      <c r="AL7" s="17"/>
      <c r="AM7" s="17"/>
      <c r="AN7" s="17"/>
      <c r="AO7" s="44">
        <f t="shared" ref="AO7:AO9" si="2">SUM(J7:AN7)</f>
        <v>0</v>
      </c>
    </row>
    <row r="8">
      <c r="A8" s="28"/>
      <c r="B8" s="12" t="s">
        <v>67</v>
      </c>
      <c r="C8" s="52" t="s">
        <v>64</v>
      </c>
      <c r="D8" s="53">
        <v>46227.0</v>
      </c>
      <c r="E8" s="4" t="s">
        <v>57</v>
      </c>
      <c r="F8" s="48" t="s">
        <v>82</v>
      </c>
      <c r="G8" s="48" t="s">
        <v>87</v>
      </c>
      <c r="H8" s="8" t="s">
        <v>53</v>
      </c>
      <c r="I8" s="58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7"/>
      <c r="AJ8" s="17"/>
      <c r="AK8" s="17"/>
      <c r="AL8" s="17"/>
      <c r="AM8" s="17"/>
      <c r="AN8" s="17"/>
      <c r="AO8" s="44">
        <f t="shared" si="2"/>
        <v>0</v>
      </c>
    </row>
    <row r="9">
      <c r="A9" s="28"/>
      <c r="B9" s="12" t="s">
        <v>48</v>
      </c>
      <c r="C9" s="5"/>
      <c r="D9" s="13"/>
      <c r="E9" s="4" t="s">
        <v>50</v>
      </c>
      <c r="F9" s="56" t="s">
        <v>51</v>
      </c>
      <c r="G9" s="56" t="s">
        <v>52</v>
      </c>
      <c r="H9" s="8" t="s">
        <v>53</v>
      </c>
      <c r="I9" s="43">
        <v>0.0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6"/>
      <c r="AI9" s="17"/>
      <c r="AJ9" s="17"/>
      <c r="AK9" s="17"/>
      <c r="AL9" s="17"/>
      <c r="AM9" s="17"/>
      <c r="AN9" s="17"/>
      <c r="AO9" s="44">
        <f t="shared" si="2"/>
        <v>0</v>
      </c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</row>
  </sheetData>
  <dataValidations>
    <dataValidation type="list" allowBlank="1" showErrorMessage="1" sqref="I2:I9">
      <formula1>"OK 2,OK 4,OK 5,OK 6,OK 8,OK 9,OK 10,OK 12,OK 14,0"</formula1>
    </dataValidation>
    <dataValidation type="list" allowBlank="1" showErrorMessage="1" sqref="H2:H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9">
      <formula1>"NOVO PACIENTE,READMISSÃO,TROCA,INTENSIFICAÇÃO,DESMAME,COBERTURA"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6.63"/>
    <col customWidth="1" min="3" max="3" width="19.0"/>
    <col customWidth="1" min="5" max="5" width="23.5"/>
    <col customWidth="1" min="6" max="6" width="33.5"/>
    <col customWidth="1" min="7" max="7" width="14.5"/>
    <col customWidth="1" min="8" max="8" width="15.88"/>
    <col customWidth="1" min="9" max="9" width="12.0"/>
    <col customWidth="1" min="10" max="40" width="4.63"/>
  </cols>
  <sheetData>
    <row r="1">
      <c r="A1" s="46" t="s">
        <v>81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0" t="s">
        <v>78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40" t="s">
        <v>39</v>
      </c>
    </row>
    <row r="2">
      <c r="A2" s="42" t="s">
        <v>79</v>
      </c>
      <c r="B2" s="4" t="s">
        <v>56</v>
      </c>
      <c r="C2" s="5"/>
      <c r="D2" s="6"/>
      <c r="E2" s="7" t="s">
        <v>57</v>
      </c>
      <c r="F2" s="7" t="s">
        <v>59</v>
      </c>
      <c r="G2" s="7" t="s">
        <v>60</v>
      </c>
      <c r="H2" s="8" t="s">
        <v>46</v>
      </c>
      <c r="I2" s="43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44">
        <f t="shared" ref="AO2:AO5" si="1">SUM(J2:AN2)</f>
        <v>0</v>
      </c>
    </row>
    <row r="3">
      <c r="A3" s="45" t="s">
        <v>40</v>
      </c>
      <c r="B3" s="4" t="s">
        <v>41</v>
      </c>
      <c r="C3" s="5"/>
      <c r="D3" s="6"/>
      <c r="E3" s="7" t="s">
        <v>43</v>
      </c>
      <c r="F3" s="7" t="s">
        <v>44</v>
      </c>
      <c r="G3" s="7" t="s">
        <v>45</v>
      </c>
      <c r="H3" s="8" t="s">
        <v>46</v>
      </c>
      <c r="I3" s="43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44">
        <f t="shared" si="1"/>
        <v>0</v>
      </c>
    </row>
    <row r="4">
      <c r="A4" s="47" t="s">
        <v>54</v>
      </c>
      <c r="B4" s="4" t="s">
        <v>71</v>
      </c>
      <c r="C4" s="35"/>
      <c r="D4" s="6"/>
      <c r="E4" s="7" t="s">
        <v>57</v>
      </c>
      <c r="F4" s="48" t="s">
        <v>82</v>
      </c>
      <c r="G4" s="48" t="s">
        <v>83</v>
      </c>
      <c r="H4" s="8" t="s">
        <v>53</v>
      </c>
      <c r="I4" s="43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44">
        <f t="shared" si="1"/>
        <v>0</v>
      </c>
    </row>
    <row r="5">
      <c r="A5" s="49" t="s">
        <v>85</v>
      </c>
      <c r="B5" s="12" t="s">
        <v>75</v>
      </c>
      <c r="C5" s="5"/>
      <c r="D5" s="13"/>
      <c r="E5" s="7" t="s">
        <v>57</v>
      </c>
      <c r="F5" s="50" t="s">
        <v>76</v>
      </c>
      <c r="G5" s="50" t="s">
        <v>77</v>
      </c>
      <c r="H5" s="8" t="s">
        <v>53</v>
      </c>
      <c r="I5" s="4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6"/>
      <c r="AI5" s="17"/>
      <c r="AJ5" s="17"/>
      <c r="AK5" s="17"/>
      <c r="AL5" s="17"/>
      <c r="AM5" s="17"/>
      <c r="AN5" s="17"/>
      <c r="AO5" s="44">
        <f t="shared" si="1"/>
        <v>0</v>
      </c>
    </row>
    <row r="6">
      <c r="A6" s="51"/>
      <c r="B6" s="12" t="s">
        <v>68</v>
      </c>
      <c r="C6" s="52"/>
      <c r="D6" s="53"/>
      <c r="E6" s="54" t="s">
        <v>69</v>
      </c>
      <c r="F6" s="29" t="s">
        <v>70</v>
      </c>
      <c r="G6" s="39" t="s">
        <v>60</v>
      </c>
      <c r="H6" s="8" t="s">
        <v>53</v>
      </c>
      <c r="I6" s="43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44">
        <v>0.0</v>
      </c>
    </row>
    <row r="7">
      <c r="A7" s="28"/>
      <c r="B7" s="12" t="s">
        <v>67</v>
      </c>
      <c r="C7" s="52"/>
      <c r="D7" s="53"/>
      <c r="E7" s="4" t="s">
        <v>57</v>
      </c>
      <c r="F7" s="48" t="s">
        <v>82</v>
      </c>
      <c r="G7" s="48" t="s">
        <v>87</v>
      </c>
      <c r="H7" s="8" t="s">
        <v>53</v>
      </c>
      <c r="I7" s="58" t="s">
        <v>88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7"/>
      <c r="AJ7" s="17"/>
      <c r="AK7" s="17"/>
      <c r="AL7" s="17"/>
      <c r="AM7" s="17"/>
      <c r="AN7" s="17"/>
      <c r="AO7" s="44">
        <f t="shared" ref="AO7:AO8" si="2">SUM(J7:AN7)</f>
        <v>0</v>
      </c>
    </row>
    <row r="8">
      <c r="A8" s="28"/>
      <c r="B8" s="12" t="s">
        <v>67</v>
      </c>
      <c r="C8" s="52" t="s">
        <v>58</v>
      </c>
      <c r="D8" s="53">
        <v>46244.0</v>
      </c>
      <c r="E8" s="4" t="s">
        <v>57</v>
      </c>
      <c r="F8" s="48" t="s">
        <v>82</v>
      </c>
      <c r="G8" s="48" t="s">
        <v>87</v>
      </c>
      <c r="H8" s="8" t="s">
        <v>46</v>
      </c>
      <c r="I8" s="58" t="s">
        <v>88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7"/>
      <c r="AJ8" s="17"/>
      <c r="AK8" s="17"/>
      <c r="AL8" s="17"/>
      <c r="AM8" s="17"/>
      <c r="AN8" s="17"/>
      <c r="AO8" s="44">
        <f t="shared" si="2"/>
        <v>0</v>
      </c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</row>
  </sheetData>
  <dataValidations>
    <dataValidation type="list" allowBlank="1" showErrorMessage="1" sqref="I2:I8">
      <formula1>"OK 2,OK 4,OK 5,OK 6,OK 8,OK 9,OK 10,OK 12,OK 14,0"</formula1>
    </dataValidation>
    <dataValidation type="list" allowBlank="1" showErrorMessage="1" sqref="H2:H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8">
      <formula1>"NOVO PACIENTE,READMISSÃO,TROCA,INTENSIFICAÇÃO,DESMAME,COBERTURA"</formula1>
    </dataValidation>
  </dataValidations>
  <drawing r:id="rId2"/>
  <legacyDrawing r:id="rId3"/>
</worksheet>
</file>