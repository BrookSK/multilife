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IO25" sheetId="1" r:id="rId5"/>
    <sheet state="hidden" name="JUNHO25" sheetId="2" r:id="rId6"/>
    <sheet state="hidden" name="JULHO25" sheetId="3" r:id="rId7"/>
    <sheet state="hidden" name="AGOSTO25" sheetId="4" r:id="rId8"/>
    <sheet state="hidden" name="SETEMBRO25" sheetId="5" r:id="rId9"/>
    <sheet state="hidden" name="OUTUBRO25" sheetId="6" r:id="rId10"/>
    <sheet state="hidden" name="NOVEMBRO25" sheetId="7" r:id="rId11"/>
    <sheet state="hidden" name="DEZEMBRO25" sheetId="8" r:id="rId12"/>
    <sheet state="hidden" name="JANEIRO26" sheetId="9" r:id="rId13"/>
    <sheet state="hidden" name="FEVEREIRO26" sheetId="10" r:id="rId14"/>
    <sheet state="hidden" name="MARÇO26" sheetId="11" r:id="rId15"/>
    <sheet state="hidden" name="ABRIL26" sheetId="12" r:id="rId16"/>
    <sheet state="hidden" name="MAIO26" sheetId="13" r:id="rId17"/>
    <sheet state="hidden" name="JUNHO26" sheetId="14" r:id="rId18"/>
    <sheet state="hidden" name="JULHO26" sheetId="15" r:id="rId19"/>
    <sheet state="visible" name="AGOSTO26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Par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Par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Par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Par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Par</t>
      </text>
    </comment>
    <comment authorId="0" ref="I2">
      <text>
        <t xml:space="preserve">Par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Par</t>
      </text>
    </comment>
    <comment authorId="0" ref="I2">
      <text>
        <t xml:space="preserve">Par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Par</t>
      </text>
    </comment>
    <comment authorId="0" ref="I2">
      <text>
        <t xml:space="preserve">Par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Par</t>
      </text>
    </comment>
    <comment authorId="0" ref="I2">
      <text>
        <t xml:space="preserve">Par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Par</t>
      </text>
    </comment>
    <comment authorId="0" ref="I2">
      <text>
        <t xml:space="preserve">Par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Par</t>
      </text>
    </comment>
    <comment authorId="0" ref="I2">
      <text>
        <t xml:space="preserve">Par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Par</t>
      </text>
    </comment>
    <comment authorId="0" ref="I2">
      <text>
        <t xml:space="preserve">Par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Par</t>
      </text>
    </comment>
    <comment authorId="0" ref="I2">
      <text>
        <t xml:space="preserve">Par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Par</t>
      </text>
    </comment>
    <comment authorId="0" ref="I2">
      <text>
        <t xml:space="preserve">Par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Par</t>
      </text>
    </comment>
    <comment authorId="0" ref="I2">
      <text>
        <t xml:space="preserve">Par</t>
      </text>
    </comment>
  </commentList>
</comments>
</file>

<file path=xl/sharedStrings.xml><?xml version="1.0" encoding="utf-8"?>
<sst xmlns="http://schemas.openxmlformats.org/spreadsheetml/2006/main" count="972" uniqueCount="74">
  <si>
    <t xml:space="preserve"> STATUS</t>
  </si>
  <si>
    <t>PACIENTE</t>
  </si>
  <si>
    <t>CONVÊNIO</t>
  </si>
  <si>
    <t>MOTIVO</t>
  </si>
  <si>
    <t>DATA</t>
  </si>
  <si>
    <t>CIDADE</t>
  </si>
  <si>
    <t xml:space="preserve">PROFISSIONAIS </t>
  </si>
  <si>
    <t>CONTATO</t>
  </si>
  <si>
    <t>PAD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</si>
  <si>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</si>
  <si>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</si>
  <si>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</si>
  <si>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</si>
  <si>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</si>
  <si>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</si>
  <si>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</si>
  <si>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</si>
  <si>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</si>
  <si>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</si>
  <si>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</si>
  <si>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</si>
  <si>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</si>
  <si>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</si>
  <si>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</si>
  <si>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</si>
  <si>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</si>
  <si>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</si>
  <si>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</si>
  <si>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</si>
  <si>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</si>
  <si>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</si>
  <si>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</si>
  <si>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</si>
  <si>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</si>
  <si>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</si>
  <si>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</si>
  <si>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</si>
  <si>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</si>
  <si>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</si>
  <si>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</si>
  <si>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</si>
  <si>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INTERNAÇÃO</t>
  </si>
  <si>
    <t>JOSE CARLOS PERES</t>
  </si>
  <si>
    <t xml:space="preserve">GILDA CINTRA ROBERTI </t>
  </si>
  <si>
    <t>ECONOMUS</t>
  </si>
  <si>
    <t>NOVO PACIENTE</t>
  </si>
  <si>
    <t xml:space="preserve"> BAURU </t>
  </si>
  <si>
    <t xml:space="preserve">ITAJUBA </t>
  </si>
  <si>
    <t>DR. SANDRO SEITI</t>
  </si>
  <si>
    <t>Kener Augusto Maia</t>
  </si>
  <si>
    <t>16 99258-4608</t>
  </si>
  <si>
    <t>35 9116-9758</t>
  </si>
  <si>
    <t>VIVEST</t>
  </si>
  <si>
    <t>1X/MÊS</t>
  </si>
  <si>
    <t>BIMESTRAL</t>
  </si>
  <si>
    <t xml:space="preserve">PENDENCIA </t>
  </si>
  <si>
    <t>SYLVIA MARIA CANOAS MIZIARA</t>
  </si>
  <si>
    <t>CASSI</t>
  </si>
  <si>
    <t>BARRETOS</t>
  </si>
  <si>
    <t>Melina Destri Garcia</t>
  </si>
  <si>
    <t>17 99602-2430</t>
  </si>
  <si>
    <t>ZELIA MARIA OLIVEIRA PIAZZAROLI</t>
  </si>
  <si>
    <t>ÓBITO</t>
  </si>
  <si>
    <t>-</t>
  </si>
  <si>
    <t xml:space="preserve">ALTA </t>
  </si>
  <si>
    <t>VISITA EXTRA</t>
  </si>
  <si>
    <t>PONTUAL</t>
  </si>
  <si>
    <t>VERA GONÇALVES VIANA</t>
  </si>
  <si>
    <t>SANTOS</t>
  </si>
  <si>
    <t>Alexandre Melo Andrade</t>
  </si>
  <si>
    <t>13 99201-0020</t>
  </si>
  <si>
    <t>FP</t>
  </si>
  <si>
    <t>1 ok</t>
  </si>
  <si>
    <t>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</si>
</sst>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color theme="1"/>
      <name val="Calibri"/>
    </font>
    <font>
      <color theme="1"/>
      <name val="Arial"/>
    </font>
    <font>
      <color rgb="FF000000"/>
      <name val="Arial"/>
    </font>
    <font>
      <b/>
      <sz val="12.0"/>
      <color theme="1"/>
      <name val="Calibri"/>
    </font>
    <font>
      <b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0.0"/>
      <color rgb="FF000000"/>
      <name val="Calibri"/>
    </font>
    <font>
      <b/>
      <sz val="11.0"/>
      <color rgb="FF000000"/>
      <name val="Calibri"/>
    </font>
    <font>
      <color rgb="FF000000"/>
      <name val="Calibri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2" fillId="3" fontId="3" numFmtId="0" xfId="0" applyAlignment="1" applyBorder="1" applyFill="1" applyFont="1">
      <alignment horizontal="center" vertical="bottom"/>
    </xf>
    <xf borderId="0" fillId="2" fontId="1" numFmtId="49" xfId="0" applyAlignment="1" applyFont="1" applyNumberFormat="1">
      <alignment horizontal="center" vertical="bottom"/>
    </xf>
    <xf borderId="2" fillId="0" fontId="4" numFmtId="0" xfId="0" applyAlignment="1" applyBorder="1" applyFont="1">
      <alignment horizontal="center" readingOrder="0" vertical="bottom"/>
    </xf>
    <xf borderId="2" fillId="4" fontId="5" numFmtId="0" xfId="0" applyAlignment="1" applyBorder="1" applyFill="1" applyFont="1">
      <alignment horizontal="center" readingOrder="0" vertical="bottom"/>
    </xf>
    <xf borderId="2" fillId="0" fontId="6" numFmtId="49" xfId="0" applyAlignment="1" applyBorder="1" applyFont="1" applyNumberFormat="1">
      <alignment horizontal="center" readingOrder="0" vertical="bottom"/>
    </xf>
    <xf borderId="2" fillId="4" fontId="6" numFmtId="49" xfId="0" applyAlignment="1" applyBorder="1" applyFont="1" applyNumberFormat="1">
      <alignment horizontal="center" readingOrder="0" vertical="bottom"/>
    </xf>
    <xf borderId="1" fillId="0" fontId="6" numFmtId="49" xfId="0" applyAlignment="1" applyBorder="1" applyFont="1" applyNumberFormat="1">
      <alignment horizontal="center" readingOrder="0" vertical="bottom"/>
    </xf>
    <xf borderId="1" fillId="4" fontId="6" numFmtId="49" xfId="0" applyAlignment="1" applyBorder="1" applyFont="1" applyNumberFormat="1">
      <alignment horizontal="center" readingOrder="0" vertical="bottom"/>
    </xf>
    <xf borderId="2" fillId="0" fontId="4" numFmtId="164" xfId="0" applyAlignment="1" applyBorder="1" applyFont="1" applyNumberFormat="1">
      <alignment horizontal="center" readingOrder="0" vertical="bottom"/>
    </xf>
    <xf borderId="2" fillId="4" fontId="4" numFmtId="164" xfId="0" applyAlignment="1" applyBorder="1" applyFont="1" applyNumberFormat="1">
      <alignment horizontal="center" readingOrder="0" vertical="bottom"/>
    </xf>
    <xf borderId="2" fillId="4" fontId="4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readingOrder="0" vertical="bottom"/>
    </xf>
    <xf borderId="3" fillId="4" fontId="4" numFmtId="0" xfId="0" applyAlignment="1" applyBorder="1" applyFont="1">
      <alignment horizontal="center" readingOrder="0" vertical="bottom"/>
    </xf>
    <xf borderId="1" fillId="0" fontId="4" numFmtId="49" xfId="0" applyAlignment="1" applyBorder="1" applyFont="1" applyNumberFormat="1">
      <alignment horizontal="center" readingOrder="0" vertical="bottom"/>
    </xf>
    <xf borderId="2" fillId="0" fontId="7" numFmtId="0" xfId="0" applyAlignment="1" applyBorder="1" applyFont="1">
      <alignment vertical="bottom"/>
    </xf>
    <xf borderId="1" fillId="4" fontId="4" numFmtId="49" xfId="0" applyAlignment="1" applyBorder="1" applyFont="1" applyNumberFormat="1">
      <alignment horizontal="center" readingOrder="0" vertical="bottom"/>
    </xf>
    <xf borderId="2" fillId="4" fontId="7" numFmtId="0" xfId="0" applyAlignment="1" applyBorder="1" applyFont="1">
      <alignment vertical="bottom"/>
    </xf>
    <xf borderId="2" fillId="4" fontId="2" numFmtId="0" xfId="0" applyAlignment="1" applyBorder="1" applyFont="1">
      <alignment horizontal="center" readingOrder="0" vertical="bottom"/>
    </xf>
    <xf borderId="2" fillId="4" fontId="8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2" fillId="5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0" fontId="6" numFmtId="49" xfId="0" applyAlignment="1" applyBorder="1" applyFont="1" applyNumberFormat="1">
      <alignment horizontal="center" vertical="bottom"/>
    </xf>
    <xf borderId="2" fillId="6" fontId="7" numFmtId="0" xfId="0" applyAlignment="1" applyBorder="1" applyFill="1" applyFont="1">
      <alignment vertical="bottom"/>
    </xf>
    <xf borderId="1" fillId="0" fontId="6" numFmtId="49" xfId="0" applyAlignment="1" applyBorder="1" applyFont="1" applyNumberFormat="1">
      <alignment horizontal="center" vertical="bottom"/>
    </xf>
    <xf borderId="2" fillId="0" fontId="4" numFmtId="164" xfId="0" applyAlignment="1" applyBorder="1" applyFont="1" applyNumberFormat="1">
      <alignment horizontal="center" vertical="bottom"/>
    </xf>
    <xf borderId="2" fillId="6" fontId="2" numFmtId="0" xfId="0" applyAlignment="1" applyBorder="1" applyFont="1">
      <alignment horizontal="center" readingOrder="0" vertical="bottom"/>
    </xf>
    <xf borderId="1" fillId="0" fontId="4" numFmtId="49" xfId="0" applyAlignment="1" applyBorder="1" applyFont="1" applyNumberFormat="1">
      <alignment horizontal="center" vertical="bottom"/>
    </xf>
    <xf borderId="2" fillId="4" fontId="9" numFmtId="49" xfId="0" applyAlignment="1" applyBorder="1" applyFont="1" applyNumberFormat="1">
      <alignment horizontal="center" vertical="center"/>
    </xf>
    <xf borderId="0" fillId="4" fontId="9" numFmtId="49" xfId="0" applyAlignment="1" applyFont="1" applyNumberFormat="1">
      <alignment horizontal="center" readingOrder="0" vertical="center"/>
    </xf>
    <xf borderId="2" fillId="7" fontId="2" numFmtId="0" xfId="0" applyAlignment="1" applyBorder="1" applyFill="1" applyFont="1">
      <alignment horizontal="center" readingOrder="0" vertical="bottom"/>
    </xf>
    <xf borderId="2" fillId="8" fontId="10" numFmtId="0" xfId="0" applyAlignment="1" applyBorder="1" applyFill="1" applyFont="1">
      <alignment horizontal="center" vertical="bottom"/>
    </xf>
    <xf borderId="2" fillId="4" fontId="5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2" fillId="4" fontId="4" numFmtId="0" xfId="0" applyAlignment="1" applyBorder="1" applyFont="1">
      <alignment horizontal="center" vertical="bottom"/>
    </xf>
    <xf borderId="2" fillId="4" fontId="10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center" vertical="bottom"/>
    </xf>
    <xf borderId="2" fillId="6" fontId="4" numFmtId="0" xfId="0" applyAlignment="1" applyBorder="1" applyFont="1">
      <alignment horizontal="center" vertical="bottom"/>
    </xf>
    <xf borderId="2" fillId="0" fontId="7" numFmtId="0" xfId="0" applyAlignment="1" applyBorder="1" applyFont="1">
      <alignment readingOrder="0" vertical="bottom"/>
    </xf>
    <xf borderId="2" fillId="4" fontId="2" numFmtId="0" xfId="0" applyAlignment="1" applyBorder="1" applyFont="1">
      <alignment horizontal="center" vertical="bottom"/>
    </xf>
    <xf borderId="2" fillId="3" fontId="11" numFmtId="0" xfId="0" applyAlignment="1" applyBorder="1" applyFont="1">
      <alignment horizontal="center" vertical="bottom"/>
    </xf>
    <xf borderId="2" fillId="5" fontId="11" numFmtId="0" xfId="0" applyAlignment="1" applyBorder="1" applyFont="1">
      <alignment horizontal="center" vertical="bottom"/>
    </xf>
    <xf borderId="2" fillId="8" fontId="12" numFmtId="0" xfId="0" applyAlignment="1" applyBorder="1" applyFont="1">
      <alignment horizontal="center" vertical="bottom"/>
    </xf>
    <xf borderId="2" fillId="9" fontId="13" numFmtId="0" xfId="0" applyAlignment="1" applyBorder="1" applyFill="1" applyFont="1">
      <alignment horizontal="center" readingOrder="0" vertical="bottom"/>
    </xf>
    <xf borderId="2" fillId="6" fontId="8" numFmtId="0" xfId="0" applyAlignment="1" applyBorder="1" applyFont="1">
      <alignment vertical="bottom"/>
    </xf>
    <xf borderId="2" fillId="6" fontId="5" numFmtId="0" xfId="0" applyAlignment="1" applyBorder="1" applyFont="1">
      <alignment horizontal="center" readingOrder="0" vertical="bottom"/>
    </xf>
    <xf borderId="2" fillId="6" fontId="5" numFmtId="0" xfId="0" applyAlignment="1" applyBorder="1" applyFont="1">
      <alignment horizontal="center" vertical="bottom"/>
    </xf>
    <xf borderId="2" fillId="10" fontId="8" numFmtId="0" xfId="0" applyAlignment="1" applyBorder="1" applyFill="1" applyFont="1">
      <alignment vertical="bottom"/>
    </xf>
    <xf borderId="2" fillId="10" fontId="5" numFmtId="0" xfId="0" applyAlignment="1" applyBorder="1" applyFont="1">
      <alignment horizontal="center" readingOrder="0" vertical="bottom"/>
    </xf>
    <xf borderId="2" fillId="10" fontId="2" numFmtId="0" xfId="0" applyAlignment="1" applyBorder="1" applyFont="1">
      <alignment horizontal="center" readingOrder="0" vertical="bottom"/>
    </xf>
    <xf borderId="2" fillId="4" fontId="3" numFmtId="49" xfId="0" applyAlignment="1" applyBorder="1" applyFont="1" applyNumberFormat="1">
      <alignment horizontal="center" vertical="center"/>
    </xf>
    <xf borderId="2" fillId="10" fontId="5" numFmtId="0" xfId="0" applyAlignment="1" applyBorder="1" applyFont="1">
      <alignment horizontal="center" vertical="bottom"/>
    </xf>
    <xf borderId="0" fillId="4" fontId="13" numFmtId="0" xfId="0" applyAlignment="1" applyFont="1">
      <alignment horizontal="center" readingOrder="0" vertical="bottom"/>
    </xf>
    <xf borderId="2" fillId="10" fontId="4" numFmtId="0" xfId="0" applyAlignment="1" applyBorder="1" applyFont="1">
      <alignment horizontal="center" vertical="bottom"/>
    </xf>
    <xf borderId="0" fillId="2" fontId="1" numFmtId="49" xfId="0" applyAlignment="1" applyFont="1" applyNumberFormat="1">
      <alignment horizontal="center" readingOrder="0" vertical="bottom"/>
    </xf>
    <xf borderId="2" fillId="5" fontId="3" numFmtId="49" xfId="0" applyAlignment="1" applyBorder="1" applyFont="1" applyNumberFormat="1">
      <alignment horizontal="center" vertical="center"/>
    </xf>
    <xf borderId="2" fillId="4" fontId="3" numFmtId="49" xfId="0" applyAlignment="1" applyBorder="1" applyFont="1" applyNumberFormat="1">
      <alignment horizontal="center" readingOrder="0" vertical="center"/>
    </xf>
    <xf borderId="2" fillId="9" fontId="6" numFmtId="49" xfId="0" applyAlignment="1" applyBorder="1" applyFont="1" applyNumberFormat="1">
      <alignment horizontal="center" vertical="bottom"/>
    </xf>
    <xf borderId="2" fillId="9" fontId="14" numFmtId="0" xfId="0" applyAlignment="1" applyBorder="1" applyFont="1">
      <alignment horizontal="center" readingOrder="0" vertical="bottom"/>
    </xf>
    <xf borderId="2" fillId="10" fontId="15" numFmtId="0" xfId="0" applyAlignment="1" applyBorder="1" applyFont="1">
      <alignment vertical="bottom"/>
    </xf>
    <xf borderId="2" fillId="9" fontId="5" numFmtId="0" xfId="0" applyAlignment="1" applyBorder="1" applyFont="1">
      <alignment horizontal="center" readingOrder="0" vertical="bottom"/>
    </xf>
    <xf borderId="2" fillId="9" fontId="2" numFmtId="0" xfId="0" applyAlignment="1" applyBorder="1" applyFont="1">
      <alignment horizontal="center" readingOrder="0" vertical="bottom"/>
    </xf>
    <xf borderId="2" fillId="3" fontId="6" numFmtId="49" xfId="0" applyAlignment="1" applyBorder="1" applyFont="1" applyNumberFormat="1">
      <alignment horizontal="center" vertical="bottom"/>
    </xf>
    <xf borderId="2" fillId="8" fontId="6" numFmtId="49" xfId="0" applyAlignment="1" applyBorder="1" applyFont="1" applyNumberFormat="1">
      <alignment horizontal="center" vertical="bottom"/>
    </xf>
    <xf borderId="2" fillId="9" fontId="3" numFmtId="0" xfId="0" applyAlignment="1" applyBorder="1" applyFont="1">
      <alignment horizontal="center" readingOrder="0" vertical="bottom"/>
    </xf>
    <xf borderId="2" fillId="5" fontId="6" numFmtId="49" xfId="0" applyAlignment="1" applyBorder="1" applyFont="1" applyNumberFormat="1">
      <alignment horizontal="center" vertical="bottom"/>
    </xf>
    <xf borderId="0" fillId="0" fontId="16" numFmtId="0" xfId="0" applyAlignment="1" applyFont="1">
      <alignment vertical="bottom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5.88"/>
    <col customWidth="1" min="3" max="3" width="14.63"/>
    <col customWidth="1" min="4" max="4" width="17.13"/>
    <col customWidth="1" min="7" max="7" width="18.63"/>
    <col customWidth="1" min="10" max="40" width="3.38"/>
    <col customWidth="1" min="41" max="41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6" t="s">
        <v>41</v>
      </c>
      <c r="B2" s="8" t="s">
        <v>42</v>
      </c>
      <c r="C2" s="10" t="s">
        <v>44</v>
      </c>
      <c r="D2" s="12" t="s">
        <v>45</v>
      </c>
      <c r="E2" s="14">
        <v>45790.0</v>
      </c>
      <c r="F2" s="8" t="s">
        <v>46</v>
      </c>
      <c r="G2" s="17" t="s">
        <v>48</v>
      </c>
      <c r="H2" s="8" t="s">
        <v>50</v>
      </c>
      <c r="I2" s="19" t="s">
        <v>53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5">
        <v>0.0</v>
      </c>
    </row>
    <row r="3">
      <c r="A3" s="26" t="s">
        <v>55</v>
      </c>
      <c r="B3" s="27" t="s">
        <v>56</v>
      </c>
      <c r="C3" s="28" t="s">
        <v>57</v>
      </c>
      <c r="D3" s="30" t="s">
        <v>45</v>
      </c>
      <c r="E3" s="31">
        <v>45786.0</v>
      </c>
      <c r="F3" s="27" t="s">
        <v>58</v>
      </c>
      <c r="G3" s="27" t="s">
        <v>59</v>
      </c>
      <c r="H3" s="27" t="s">
        <v>60</v>
      </c>
      <c r="I3" s="33" t="s">
        <v>53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5">
        <v>0.0</v>
      </c>
    </row>
    <row r="4">
      <c r="A4" s="37" t="s">
        <v>62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>
      <c r="A5" s="41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"UNIMED SÃO CARLOS,AMIL,CASSI,ECONOMUS"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5.88"/>
    <col customWidth="1" min="3" max="3" width="14.63"/>
    <col customWidth="1" min="4" max="4" width="17.13"/>
    <col customWidth="1" min="7" max="7" width="18.63"/>
    <col customWidth="1" min="9" max="9" width="15.25"/>
    <col customWidth="1" min="10" max="40" width="3.38"/>
    <col customWidth="1" min="41" max="42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7"/>
    </row>
    <row r="2">
      <c r="A2" s="6" t="s">
        <v>41</v>
      </c>
      <c r="B2" s="9" t="s">
        <v>43</v>
      </c>
      <c r="C2" s="11"/>
      <c r="D2" s="13" t="s">
        <v>45</v>
      </c>
      <c r="E2" s="15">
        <v>45828.0</v>
      </c>
      <c r="F2" s="16" t="s">
        <v>47</v>
      </c>
      <c r="G2" s="18" t="s">
        <v>49</v>
      </c>
      <c r="H2" s="16" t="s">
        <v>51</v>
      </c>
      <c r="I2" s="21" t="s">
        <v>54</v>
      </c>
      <c r="J2" s="22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9"/>
      <c r="AC2" s="9">
        <v>1.0</v>
      </c>
      <c r="AD2" s="9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34">
        <f t="shared" ref="AO2:AO5" si="1">AN2+AM2+AL2+AK2+AJ2+AI2+AH2+AG2+AF2+AE2+AD2+AC2+AB2+AA2+Z2+Y2+X2+W2+V2+U2+T2+S2+R2+Q2+P2+O2+N2+M2+L2+K2+J2</f>
        <v>1</v>
      </c>
      <c r="AP2" s="35" t="s">
        <v>9</v>
      </c>
    </row>
    <row r="3">
      <c r="A3" s="26" t="s">
        <v>55</v>
      </c>
      <c r="B3" s="36" t="s">
        <v>42</v>
      </c>
      <c r="C3" s="10" t="s">
        <v>44</v>
      </c>
      <c r="D3" s="12"/>
      <c r="E3" s="14"/>
      <c r="F3" s="8" t="s">
        <v>46</v>
      </c>
      <c r="G3" s="17" t="s">
        <v>48</v>
      </c>
      <c r="H3" s="8" t="s">
        <v>50</v>
      </c>
      <c r="I3" s="19" t="s">
        <v>53</v>
      </c>
      <c r="J3" s="20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4">
        <f t="shared" si="1"/>
        <v>0</v>
      </c>
      <c r="AP3" s="35" t="s">
        <v>63</v>
      </c>
    </row>
    <row r="4">
      <c r="A4" s="37" t="s">
        <v>62</v>
      </c>
      <c r="B4" s="42" t="s">
        <v>56</v>
      </c>
      <c r="C4" s="28" t="s">
        <v>57</v>
      </c>
      <c r="D4" s="30"/>
      <c r="E4" s="31"/>
      <c r="F4" s="27" t="s">
        <v>58</v>
      </c>
      <c r="G4" s="27" t="s">
        <v>59</v>
      </c>
      <c r="H4" s="27" t="s">
        <v>60</v>
      </c>
      <c r="I4" s="33" t="s">
        <v>53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44">
        <v>1.0</v>
      </c>
      <c r="AA4" s="20"/>
      <c r="AB4" s="20"/>
      <c r="AC4" s="20"/>
      <c r="AD4" s="20"/>
      <c r="AE4" s="20"/>
      <c r="AF4" s="20"/>
      <c r="AG4" s="20"/>
      <c r="AH4" s="20"/>
      <c r="AI4" s="20"/>
      <c r="AJ4" s="42"/>
      <c r="AK4" s="42"/>
      <c r="AL4" s="42"/>
      <c r="AM4" s="42"/>
      <c r="AN4" s="42"/>
      <c r="AO4" s="34">
        <f t="shared" si="1"/>
        <v>1</v>
      </c>
      <c r="AP4" s="35" t="s">
        <v>9</v>
      </c>
    </row>
    <row r="5">
      <c r="A5" s="45"/>
      <c r="B5" s="8" t="s">
        <v>61</v>
      </c>
      <c r="C5" s="10" t="s">
        <v>52</v>
      </c>
      <c r="D5" s="12" t="s">
        <v>45</v>
      </c>
      <c r="E5" s="15">
        <v>45828.0</v>
      </c>
      <c r="F5" s="8" t="s">
        <v>47</v>
      </c>
      <c r="G5" s="18" t="s">
        <v>49</v>
      </c>
      <c r="H5" s="16" t="s">
        <v>51</v>
      </c>
      <c r="I5" s="19" t="s">
        <v>54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8">
        <v>1.0</v>
      </c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34">
        <f t="shared" si="1"/>
        <v>1</v>
      </c>
      <c r="AP5" s="35" t="s">
        <v>9</v>
      </c>
    </row>
    <row r="6">
      <c r="A6" s="41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</row>
  </sheetData>
  <dataValidations>
    <dataValidation type="list" allowBlank="1" showErrorMessage="1" sqref="I2:I5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5">
      <formula1>"UNIMED SÃO CARLOS,AMIL,CASSI,ECONOMUS,VIVEST"</formula1>
    </dataValidation>
    <dataValidation type="list" allowBlank="1" showErrorMessage="1" sqref="D2:D5">
      <formula1>"NOVO PACIENTE,READMISSÃO,TROCA,INTENSIFICAÇÃO,DESMAME,COBERTURA,REVEZAMENTO"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5.88"/>
    <col customWidth="1" min="3" max="3" width="14.63"/>
    <col customWidth="1" min="4" max="4" width="17.13"/>
    <col customWidth="1" min="7" max="7" width="18.63"/>
    <col customWidth="1" min="9" max="9" width="15.25"/>
    <col customWidth="1" min="10" max="40" width="3.38"/>
    <col customWidth="1" min="41" max="41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6" t="s">
        <v>41</v>
      </c>
      <c r="B2" s="9" t="s">
        <v>43</v>
      </c>
      <c r="C2" s="11"/>
      <c r="D2" s="13"/>
      <c r="E2" s="15"/>
      <c r="F2" s="16" t="s">
        <v>47</v>
      </c>
      <c r="G2" s="18" t="s">
        <v>49</v>
      </c>
      <c r="H2" s="16" t="s">
        <v>51</v>
      </c>
      <c r="I2" s="21" t="s">
        <v>54</v>
      </c>
      <c r="J2" s="29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25">
        <v>0.0</v>
      </c>
    </row>
    <row r="3">
      <c r="A3" s="26" t="s">
        <v>55</v>
      </c>
      <c r="B3" s="8" t="s">
        <v>61</v>
      </c>
      <c r="C3" s="10" t="s">
        <v>52</v>
      </c>
      <c r="D3" s="12"/>
      <c r="E3" s="15"/>
      <c r="F3" s="8" t="s">
        <v>47</v>
      </c>
      <c r="G3" s="18" t="s">
        <v>49</v>
      </c>
      <c r="H3" s="16" t="s">
        <v>51</v>
      </c>
      <c r="I3" s="19" t="s">
        <v>54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25">
        <v>0.0</v>
      </c>
    </row>
    <row r="4">
      <c r="A4" s="37" t="s">
        <v>62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"UNIMED SÃO CARLOS,AMIL,CASSI,ECONOMUS,VIVEST"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5.88"/>
    <col customWidth="1" min="3" max="3" width="14.63"/>
    <col customWidth="1" min="4" max="4" width="17.13"/>
    <col customWidth="1" min="7" max="7" width="18.63"/>
    <col customWidth="1" min="9" max="9" width="15.25"/>
    <col customWidth="1" min="10" max="40" width="3.38"/>
    <col customWidth="1" min="41" max="41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6" t="s">
        <v>41</v>
      </c>
      <c r="B2" s="9" t="s">
        <v>43</v>
      </c>
      <c r="C2" s="11" t="s">
        <v>52</v>
      </c>
      <c r="D2" s="13"/>
      <c r="E2" s="15"/>
      <c r="F2" s="16" t="s">
        <v>47</v>
      </c>
      <c r="G2" s="18" t="s">
        <v>49</v>
      </c>
      <c r="H2" s="16" t="s">
        <v>51</v>
      </c>
      <c r="I2" s="21" t="s">
        <v>54</v>
      </c>
      <c r="J2" s="24"/>
      <c r="K2" s="9">
        <v>1.0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34">
        <f t="shared" ref="AO2:AO3" si="1">AN2+AM2+AL2+AK2+AJ2+AI2+AH2+AG2+AF2+AE2+AD2+AC2+AB2+AA2+Z2+Y2+X2+W2+V2+U2+T2+S2+R2+Q2+P2+O2+N2+M2+L2+K2+J2</f>
        <v>1</v>
      </c>
    </row>
    <row r="3">
      <c r="A3" s="26" t="s">
        <v>55</v>
      </c>
      <c r="B3" s="8" t="s">
        <v>61</v>
      </c>
      <c r="C3" s="10" t="s">
        <v>52</v>
      </c>
      <c r="D3" s="12"/>
      <c r="E3" s="15"/>
      <c r="F3" s="8" t="s">
        <v>47</v>
      </c>
      <c r="G3" s="18" t="s">
        <v>49</v>
      </c>
      <c r="H3" s="16" t="s">
        <v>51</v>
      </c>
      <c r="I3" s="19" t="s">
        <v>54</v>
      </c>
      <c r="J3" s="38"/>
      <c r="K3" s="9">
        <v>1.0</v>
      </c>
      <c r="L3" s="9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34">
        <f t="shared" si="1"/>
        <v>1</v>
      </c>
    </row>
    <row r="4">
      <c r="A4" s="37" t="s">
        <v>62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"UNIMED SÃO CARLOS,AMIL,CASSI,ECONOMUS,VIVEST"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5.88"/>
    <col customWidth="1" min="3" max="3" width="14.63"/>
    <col customWidth="1" min="4" max="4" width="17.13"/>
    <col customWidth="1" min="7" max="7" width="18.63"/>
    <col customWidth="1" min="9" max="9" width="15.25"/>
    <col customWidth="1" min="10" max="40" width="3.38"/>
    <col customWidth="1" min="41" max="41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6" t="s">
        <v>41</v>
      </c>
      <c r="B2" s="9" t="s">
        <v>43</v>
      </c>
      <c r="C2" s="11" t="s">
        <v>52</v>
      </c>
      <c r="D2" s="13"/>
      <c r="E2" s="15"/>
      <c r="F2" s="16" t="s">
        <v>47</v>
      </c>
      <c r="G2" s="18" t="s">
        <v>49</v>
      </c>
      <c r="H2" s="16" t="s">
        <v>51</v>
      </c>
      <c r="I2" s="21" t="s">
        <v>54</v>
      </c>
      <c r="J2" s="24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34">
        <f t="shared" ref="AO2:AO3" si="1">AN2+AM2+AL2+AK2+AJ2+AI2+AH2+AG2+AF2+AE2+AD2+AC2+AB2+AA2+Z2+Y2+X2+W2+V2+U2+T2+S2+R2+Q2+P2+O2+N2+M2+L2+K2+J2</f>
        <v>0</v>
      </c>
    </row>
    <row r="3">
      <c r="A3" s="26" t="s">
        <v>55</v>
      </c>
      <c r="B3" s="8" t="s">
        <v>61</v>
      </c>
      <c r="C3" s="10" t="s">
        <v>52</v>
      </c>
      <c r="D3" s="12"/>
      <c r="E3" s="15"/>
      <c r="F3" s="8" t="s">
        <v>47</v>
      </c>
      <c r="G3" s="18" t="s">
        <v>49</v>
      </c>
      <c r="H3" s="16" t="s">
        <v>51</v>
      </c>
      <c r="I3" s="19" t="s">
        <v>54</v>
      </c>
      <c r="J3" s="38"/>
      <c r="K3" s="9"/>
      <c r="L3" s="9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34">
        <f t="shared" si="1"/>
        <v>0</v>
      </c>
    </row>
    <row r="4">
      <c r="A4" s="37" t="s">
        <v>62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"UNIMED SÃO CARLOS,AMIL,CASSI,ECONOMUS,VIVEST"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5.88"/>
    <col customWidth="1" min="3" max="3" width="14.63"/>
    <col customWidth="1" min="4" max="4" width="17.13"/>
    <col customWidth="1" min="7" max="7" width="18.63"/>
    <col customWidth="1" min="9" max="9" width="15.25"/>
    <col customWidth="1" min="10" max="40" width="3.38"/>
    <col customWidth="1" min="41" max="41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46" t="s">
        <v>41</v>
      </c>
      <c r="B2" s="9" t="s">
        <v>43</v>
      </c>
      <c r="C2" s="11" t="s">
        <v>52</v>
      </c>
      <c r="D2" s="13"/>
      <c r="E2" s="15"/>
      <c r="F2" s="16" t="s">
        <v>47</v>
      </c>
      <c r="G2" s="18" t="s">
        <v>49</v>
      </c>
      <c r="H2" s="16" t="s">
        <v>51</v>
      </c>
      <c r="I2" s="21" t="s">
        <v>54</v>
      </c>
      <c r="J2" s="24"/>
      <c r="K2" s="9"/>
      <c r="L2" s="9"/>
      <c r="M2" s="9"/>
      <c r="N2" s="9"/>
      <c r="O2" s="9"/>
      <c r="P2" s="9"/>
      <c r="Q2" s="9"/>
      <c r="R2" s="9"/>
      <c r="S2" s="9">
        <v>1.0</v>
      </c>
      <c r="T2" s="9"/>
      <c r="U2" s="9"/>
      <c r="V2" s="9"/>
      <c r="W2" s="9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34">
        <f t="shared" ref="AO2:AO3" si="1">AN2+AM2+AL2+AK2+AJ2+AI2+AH2+AG2+AF2+AE2+AD2+AC2+AB2+AA2+Z2+Y2+X2+W2+V2+U2+T2+S2+R2+Q2+P2+O2+N2+M2+L2+K2+J2</f>
        <v>1</v>
      </c>
    </row>
    <row r="3">
      <c r="A3" s="47" t="s">
        <v>55</v>
      </c>
      <c r="B3" s="8" t="s">
        <v>61</v>
      </c>
      <c r="C3" s="10" t="s">
        <v>52</v>
      </c>
      <c r="D3" s="12"/>
      <c r="E3" s="15"/>
      <c r="F3" s="8" t="s">
        <v>47</v>
      </c>
      <c r="G3" s="18" t="s">
        <v>49</v>
      </c>
      <c r="H3" s="16" t="s">
        <v>51</v>
      </c>
      <c r="I3" s="21" t="s">
        <v>54</v>
      </c>
      <c r="J3" s="38"/>
      <c r="K3" s="9"/>
      <c r="L3" s="9"/>
      <c r="M3" s="9">
        <v>1.0</v>
      </c>
      <c r="N3" s="38"/>
      <c r="O3" s="38"/>
      <c r="P3" s="38"/>
      <c r="Q3" s="38"/>
      <c r="R3" s="38"/>
      <c r="S3" s="38"/>
      <c r="T3" s="38"/>
      <c r="U3" s="38"/>
      <c r="V3" s="38"/>
      <c r="W3" s="3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34">
        <f t="shared" si="1"/>
        <v>1</v>
      </c>
    </row>
    <row r="4">
      <c r="A4" s="48" t="s">
        <v>62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>
      <c r="A5" s="49" t="s">
        <v>64</v>
      </c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"UNIMED SÃO CARLOS,AMIL,CASSI,ECONOMUS,VIVEST"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5.88"/>
    <col customWidth="1" min="3" max="3" width="14.63"/>
    <col customWidth="1" min="4" max="4" width="17.13"/>
    <col customWidth="1" min="7" max="7" width="18.63"/>
    <col customWidth="1" min="9" max="9" width="15.25"/>
    <col customWidth="1" min="10" max="40" width="3.38"/>
    <col customWidth="1" min="41" max="41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46" t="s">
        <v>41</v>
      </c>
      <c r="B2" s="9" t="s">
        <v>43</v>
      </c>
      <c r="C2" s="11" t="s">
        <v>52</v>
      </c>
      <c r="D2" s="13"/>
      <c r="E2" s="15"/>
      <c r="F2" s="16" t="s">
        <v>47</v>
      </c>
      <c r="G2" s="18" t="s">
        <v>49</v>
      </c>
      <c r="H2" s="16" t="s">
        <v>51</v>
      </c>
      <c r="I2" s="21" t="s">
        <v>54</v>
      </c>
      <c r="J2" s="50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4">
        <f t="shared" ref="AO2:AO3" si="1">AN2+AM2+AL2+AK2+AJ2+AI2+AH2+AG2+AF2+AE2+AD2+AC2+AB2+AA2+Z2+Y2+X2+W2+V2+U2+T2+S2+R2+Q2+P2+O2+N2+M2+L2+K2+J2</f>
        <v>0</v>
      </c>
    </row>
    <row r="3">
      <c r="A3" s="47" t="s">
        <v>55</v>
      </c>
      <c r="B3" s="8" t="s">
        <v>61</v>
      </c>
      <c r="C3" s="10" t="s">
        <v>52</v>
      </c>
      <c r="D3" s="12"/>
      <c r="E3" s="15"/>
      <c r="F3" s="8" t="s">
        <v>47</v>
      </c>
      <c r="G3" s="18" t="s">
        <v>49</v>
      </c>
      <c r="H3" s="16" t="s">
        <v>51</v>
      </c>
      <c r="I3" s="21" t="s">
        <v>54</v>
      </c>
      <c r="J3" s="52"/>
      <c r="K3" s="51"/>
      <c r="L3" s="51"/>
      <c r="M3" s="51"/>
      <c r="N3" s="52"/>
      <c r="O3" s="52"/>
      <c r="P3" s="52"/>
      <c r="Q3" s="52"/>
      <c r="R3" s="52"/>
      <c r="S3" s="52"/>
      <c r="T3" s="52"/>
      <c r="U3" s="52"/>
      <c r="V3" s="52"/>
      <c r="W3" s="52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34">
        <f t="shared" si="1"/>
        <v>0</v>
      </c>
    </row>
    <row r="4">
      <c r="A4" s="48" t="s">
        <v>62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>
      <c r="A5" s="49" t="s">
        <v>64</v>
      </c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"UNIMED SÃO CARLOS,AMIL,CASSI,ECONOMUS,VIVEST"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5.88"/>
    <col customWidth="1" min="3" max="3" width="14.63"/>
    <col customWidth="1" min="4" max="4" width="17.13"/>
    <col customWidth="1" min="7" max="7" width="18.63"/>
    <col customWidth="1" min="9" max="9" width="15.25"/>
    <col customWidth="1" min="10" max="40" width="3.38"/>
    <col customWidth="1" min="41" max="41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46" t="s">
        <v>41</v>
      </c>
      <c r="B2" s="9" t="s">
        <v>43</v>
      </c>
      <c r="C2" s="11" t="s">
        <v>52</v>
      </c>
      <c r="D2" s="13"/>
      <c r="E2" s="15"/>
      <c r="F2" s="16" t="s">
        <v>47</v>
      </c>
      <c r="G2" s="18" t="s">
        <v>49</v>
      </c>
      <c r="H2" s="16" t="s">
        <v>51</v>
      </c>
      <c r="I2" s="21" t="s">
        <v>54</v>
      </c>
      <c r="J2" s="24"/>
      <c r="K2" s="9"/>
      <c r="L2" s="9"/>
      <c r="M2" s="9"/>
      <c r="N2" s="9"/>
      <c r="O2" s="9">
        <v>1.0</v>
      </c>
      <c r="P2" s="9"/>
      <c r="Q2" s="9"/>
      <c r="R2" s="9"/>
      <c r="S2" s="9"/>
      <c r="T2" s="9"/>
      <c r="U2" s="9"/>
      <c r="V2" s="9"/>
      <c r="W2" s="9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34">
        <f t="shared" ref="AO2:AO4" si="1">AN2+AM2+AL2+AK2+AJ2+AI2+AH2+AG2+AF2+AE2+AD2+AC2+AB2+AA2+Z2+Y2+X2+W2+V2+U2+T2+S2+R2+Q2+P2+O2+N2+M2+L2+K2+J2</f>
        <v>1</v>
      </c>
    </row>
    <row r="3">
      <c r="A3" s="47" t="s">
        <v>55</v>
      </c>
      <c r="B3" s="9" t="s">
        <v>43</v>
      </c>
      <c r="C3" s="10" t="s">
        <v>52</v>
      </c>
      <c r="D3" s="12" t="s">
        <v>65</v>
      </c>
      <c r="E3" s="15">
        <v>46015.0</v>
      </c>
      <c r="F3" s="16" t="s">
        <v>47</v>
      </c>
      <c r="G3" s="18" t="s">
        <v>49</v>
      </c>
      <c r="H3" s="16" t="s">
        <v>51</v>
      </c>
      <c r="I3" s="21" t="s">
        <v>66</v>
      </c>
      <c r="J3" s="38"/>
      <c r="K3" s="9"/>
      <c r="L3" s="9"/>
      <c r="M3" s="9"/>
      <c r="N3" s="38"/>
      <c r="O3" s="9"/>
      <c r="P3" s="38"/>
      <c r="Q3" s="38"/>
      <c r="R3" s="38"/>
      <c r="S3" s="38"/>
      <c r="T3" s="38"/>
      <c r="U3" s="38"/>
      <c r="V3" s="38"/>
      <c r="W3" s="38"/>
      <c r="X3" s="40"/>
      <c r="Y3" s="40"/>
      <c r="Z3" s="40"/>
      <c r="AA3" s="40"/>
      <c r="AB3" s="40"/>
      <c r="AC3" s="40"/>
      <c r="AD3" s="40"/>
      <c r="AE3" s="40"/>
      <c r="AF3" s="40"/>
      <c r="AG3" s="16">
        <v>1.0</v>
      </c>
      <c r="AH3" s="40"/>
      <c r="AI3" s="40"/>
      <c r="AJ3" s="40"/>
      <c r="AK3" s="40"/>
      <c r="AL3" s="40"/>
      <c r="AM3" s="40"/>
      <c r="AN3" s="40"/>
      <c r="AO3" s="34">
        <f t="shared" si="1"/>
        <v>1</v>
      </c>
    </row>
    <row r="4">
      <c r="A4" s="48" t="s">
        <v>62</v>
      </c>
      <c r="B4" s="8" t="s">
        <v>61</v>
      </c>
      <c r="C4" s="10" t="s">
        <v>52</v>
      </c>
      <c r="D4" s="12"/>
      <c r="E4" s="15"/>
      <c r="F4" s="8" t="s">
        <v>47</v>
      </c>
      <c r="G4" s="18" t="s">
        <v>49</v>
      </c>
      <c r="H4" s="16" t="s">
        <v>51</v>
      </c>
      <c r="I4" s="21" t="s">
        <v>54</v>
      </c>
      <c r="J4" s="38"/>
      <c r="K4" s="9"/>
      <c r="L4" s="9"/>
      <c r="M4" s="9"/>
      <c r="N4" s="38"/>
      <c r="O4" s="9">
        <v>1.0</v>
      </c>
      <c r="P4" s="38"/>
      <c r="Q4" s="38"/>
      <c r="R4" s="38"/>
      <c r="S4" s="38"/>
      <c r="T4" s="38"/>
      <c r="U4" s="38"/>
      <c r="V4" s="38"/>
      <c r="W4" s="38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34">
        <f t="shared" si="1"/>
        <v>1</v>
      </c>
    </row>
    <row r="5">
      <c r="A5" s="49" t="s">
        <v>64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</row>
    <row r="6">
      <c r="A6" s="58"/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4">
      <formula1>"UNIMED SÃO CARLOS,AMIL,CASSI,ECONOMUS,VIVEST"</formula1>
    </dataValidation>
    <dataValidation type="list" allowBlank="1" showErrorMessage="1" sqref="D2:D4">
      <formula1>"NOVO PACIENTE,READMISSÃO,TROCA,INTENSIFICAÇÃO,DESMAME,COBERTURA,REVEZAMENTO,VISITA EXTRA"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5"/>
    <col customWidth="1" min="2" max="2" width="35.88"/>
    <col customWidth="1" min="3" max="3" width="14.63"/>
    <col customWidth="1" min="4" max="4" width="17.13"/>
    <col customWidth="1" min="7" max="7" width="23.88"/>
    <col customWidth="1" min="9" max="9" width="15.25"/>
    <col customWidth="1" min="10" max="40" width="3.38"/>
    <col customWidth="1" min="41" max="41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46" t="s">
        <v>41</v>
      </c>
      <c r="B2" s="9" t="s">
        <v>43</v>
      </c>
      <c r="C2" s="11" t="s">
        <v>52</v>
      </c>
      <c r="D2" s="13"/>
      <c r="E2" s="15"/>
      <c r="F2" s="16" t="s">
        <v>47</v>
      </c>
      <c r="G2" s="18" t="s">
        <v>49</v>
      </c>
      <c r="H2" s="16" t="s">
        <v>51</v>
      </c>
      <c r="I2" s="21" t="s">
        <v>54</v>
      </c>
      <c r="J2" s="53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6">
        <f t="shared" ref="AO2:AO4" si="1">AN2+AM2+AL2+AK2+AJ2+AI2+AH2+AG2+AF2+AE2+AD2+AC2+AB2+AA2+Z2+Y2+X2+W2+V2+U2+T2+S2+R2+Q2+P2+O2+N2+M2+L2+K2+J2</f>
        <v>0</v>
      </c>
    </row>
    <row r="3">
      <c r="A3" s="47" t="s">
        <v>55</v>
      </c>
      <c r="B3" s="8" t="s">
        <v>67</v>
      </c>
      <c r="C3" s="10" t="s">
        <v>44</v>
      </c>
      <c r="D3" s="12" t="s">
        <v>45</v>
      </c>
      <c r="E3" s="15">
        <v>46030.0</v>
      </c>
      <c r="F3" s="8" t="s">
        <v>68</v>
      </c>
      <c r="G3" s="18" t="s">
        <v>69</v>
      </c>
      <c r="H3" s="16" t="s">
        <v>70</v>
      </c>
      <c r="I3" s="21" t="s">
        <v>53</v>
      </c>
      <c r="J3" s="57"/>
      <c r="K3" s="54"/>
      <c r="L3" s="54"/>
      <c r="M3" s="54"/>
      <c r="N3" s="57"/>
      <c r="O3" s="54"/>
      <c r="P3" s="57"/>
      <c r="Q3" s="9">
        <v>1.0</v>
      </c>
      <c r="R3" s="38"/>
      <c r="S3" s="38"/>
      <c r="T3" s="38"/>
      <c r="U3" s="38"/>
      <c r="V3" s="38"/>
      <c r="W3" s="3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56">
        <f t="shared" si="1"/>
        <v>1</v>
      </c>
    </row>
    <row r="4">
      <c r="A4" s="48" t="s">
        <v>62</v>
      </c>
      <c r="B4" s="8" t="s">
        <v>61</v>
      </c>
      <c r="C4" s="10" t="s">
        <v>52</v>
      </c>
      <c r="D4" s="12"/>
      <c r="E4" s="15"/>
      <c r="F4" s="8" t="s">
        <v>47</v>
      </c>
      <c r="G4" s="18" t="s">
        <v>49</v>
      </c>
      <c r="H4" s="16" t="s">
        <v>51</v>
      </c>
      <c r="I4" s="21" t="s">
        <v>54</v>
      </c>
      <c r="J4" s="57"/>
      <c r="K4" s="54"/>
      <c r="L4" s="54"/>
      <c r="M4" s="54"/>
      <c r="N4" s="57"/>
      <c r="O4" s="54"/>
      <c r="P4" s="57"/>
      <c r="Q4" s="57"/>
      <c r="R4" s="57"/>
      <c r="S4" s="57"/>
      <c r="T4" s="57"/>
      <c r="U4" s="57"/>
      <c r="V4" s="57"/>
      <c r="W4" s="57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6">
        <f t="shared" si="1"/>
        <v>0</v>
      </c>
    </row>
    <row r="5">
      <c r="A5" s="49" t="s">
        <v>64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</row>
    <row r="6">
      <c r="A6" s="58"/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4">
      <formula1>"UNIMED SÃO CARLOS,AMIL,CASSI,ECONOMUS,VIVEST"</formula1>
    </dataValidation>
    <dataValidation type="list" allowBlank="1" showErrorMessage="1" sqref="D2:D4">
      <formula1>"NOVO PACIENTE,READMISSÃO,TROCA,INTENSIFICAÇÃO,DESMAME,COBERTURA,REVEZAMENTO,VISITA EXTRA"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5"/>
    <col customWidth="1" min="2" max="2" width="35.88"/>
    <col customWidth="1" min="3" max="3" width="14.63"/>
    <col customWidth="1" min="4" max="4" width="17.13"/>
    <col customWidth="1" min="7" max="7" width="23.88"/>
    <col customWidth="1" min="9" max="9" width="15.25"/>
    <col customWidth="1" min="10" max="40" width="3.38"/>
    <col customWidth="1" min="41" max="41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46" t="s">
        <v>41</v>
      </c>
      <c r="B2" s="9" t="s">
        <v>43</v>
      </c>
      <c r="C2" s="11" t="s">
        <v>52</v>
      </c>
      <c r="D2" s="13"/>
      <c r="E2" s="15"/>
      <c r="F2" s="16" t="s">
        <v>47</v>
      </c>
      <c r="G2" s="18" t="s">
        <v>49</v>
      </c>
      <c r="H2" s="16" t="s">
        <v>51</v>
      </c>
      <c r="I2" s="21" t="s">
        <v>54</v>
      </c>
      <c r="J2" s="24"/>
      <c r="K2" s="9"/>
      <c r="L2" s="9"/>
      <c r="M2" s="9">
        <v>1.0</v>
      </c>
      <c r="N2" s="9"/>
      <c r="O2" s="9"/>
      <c r="P2" s="9"/>
      <c r="Q2" s="9"/>
      <c r="R2" s="9"/>
      <c r="S2" s="9"/>
      <c r="T2" s="9"/>
      <c r="U2" s="9"/>
      <c r="V2" s="9"/>
      <c r="W2" s="9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56">
        <f t="shared" ref="AO2:AO4" si="1">AN2+AM2+AL2+AK2+AJ2+AI2+AH2+AG2+AF2+AE2+AD2+AC2+AB2+AA2+Z2+Y2+X2+W2+V2+U2+T2+S2+R2+Q2+P2+O2+N2+M2+L2+K2+J2</f>
        <v>1</v>
      </c>
    </row>
    <row r="3">
      <c r="A3" s="47" t="s">
        <v>55</v>
      </c>
      <c r="B3" s="8" t="s">
        <v>67</v>
      </c>
      <c r="C3" s="10" t="s">
        <v>44</v>
      </c>
      <c r="D3" s="12"/>
      <c r="E3" s="15"/>
      <c r="F3" s="8" t="s">
        <v>68</v>
      </c>
      <c r="G3" s="18" t="s">
        <v>69</v>
      </c>
      <c r="H3" s="16" t="s">
        <v>70</v>
      </c>
      <c r="I3" s="21" t="s">
        <v>53</v>
      </c>
      <c r="J3" s="38"/>
      <c r="K3" s="9"/>
      <c r="L3" s="9"/>
      <c r="M3" s="9"/>
      <c r="N3" s="38"/>
      <c r="O3" s="9"/>
      <c r="P3" s="38"/>
      <c r="Q3" s="9"/>
      <c r="R3" s="38"/>
      <c r="S3" s="38"/>
      <c r="T3" s="38"/>
      <c r="U3" s="38"/>
      <c r="V3" s="38"/>
      <c r="W3" s="3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16">
        <v>1.0</v>
      </c>
      <c r="AJ3" s="40"/>
      <c r="AK3" s="40"/>
      <c r="AL3" s="40"/>
      <c r="AM3" s="40"/>
      <c r="AN3" s="40"/>
      <c r="AO3" s="56">
        <f t="shared" si="1"/>
        <v>1</v>
      </c>
    </row>
    <row r="4">
      <c r="A4" s="48" t="s">
        <v>62</v>
      </c>
      <c r="B4" s="8" t="s">
        <v>61</v>
      </c>
      <c r="C4" s="10" t="s">
        <v>52</v>
      </c>
      <c r="D4" s="12"/>
      <c r="E4" s="15"/>
      <c r="F4" s="8" t="s">
        <v>47</v>
      </c>
      <c r="G4" s="18" t="s">
        <v>49</v>
      </c>
      <c r="H4" s="16" t="s">
        <v>51</v>
      </c>
      <c r="I4" s="21" t="s">
        <v>54</v>
      </c>
      <c r="J4" s="38"/>
      <c r="K4" s="9"/>
      <c r="L4" s="9"/>
      <c r="M4" s="9"/>
      <c r="N4" s="38"/>
      <c r="O4" s="9"/>
      <c r="P4" s="38"/>
      <c r="Q4" s="38"/>
      <c r="R4" s="38"/>
      <c r="S4" s="38"/>
      <c r="T4" s="38"/>
      <c r="U4" s="38"/>
      <c r="V4" s="38"/>
      <c r="W4" s="9">
        <v>1.0</v>
      </c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56">
        <f t="shared" si="1"/>
        <v>1</v>
      </c>
    </row>
    <row r="5">
      <c r="A5" s="49" t="s">
        <v>64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</row>
    <row r="6">
      <c r="A6" s="58"/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4">
      <formula1>"UNIMED SÃO CARLOS,AMIL,CASSI,ECONOMUS,VIVEST"</formula1>
    </dataValidation>
    <dataValidation type="list" allowBlank="1" showErrorMessage="1" sqref="D2:D4">
      <formula1>"NOVO PACIENTE,READMISSÃO,TROCA,INTENSIFICAÇÃO,DESMAME,COBERTURA,REVEZAMENTO,VISITA EXTRA"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7" max="7" width="19.5"/>
    <col customWidth="1" min="9" max="9" width="15.0"/>
    <col customWidth="1" min="10" max="40" width="4.63"/>
    <col customWidth="1" min="41" max="41" width="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46" t="s">
        <v>41</v>
      </c>
      <c r="B2" s="9" t="s">
        <v>43</v>
      </c>
      <c r="C2" s="11" t="s">
        <v>52</v>
      </c>
      <c r="D2" s="13"/>
      <c r="E2" s="15"/>
      <c r="F2" s="16" t="s">
        <v>47</v>
      </c>
      <c r="G2" s="18" t="s">
        <v>49</v>
      </c>
      <c r="H2" s="16" t="s">
        <v>51</v>
      </c>
      <c r="I2" s="21" t="s">
        <v>54</v>
      </c>
      <c r="J2" s="24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56">
        <f t="shared" ref="AO2:AO4" si="1">AN2+AM2+AL2+AK2+AJ2+AI2+AH2+AG2+AF2+AE2+AD2+AC2+AB2+AA2+Z2+Y2+X2+W2+V2+U2+T2+S2+R2+Q2+P2+O2+N2+M2+L2+K2+J2</f>
        <v>0</v>
      </c>
    </row>
    <row r="3">
      <c r="A3" s="47" t="s">
        <v>55</v>
      </c>
      <c r="B3" s="8" t="s">
        <v>67</v>
      </c>
      <c r="C3" s="10" t="s">
        <v>44</v>
      </c>
      <c r="D3" s="12"/>
      <c r="E3" s="15"/>
      <c r="F3" s="8" t="s">
        <v>68</v>
      </c>
      <c r="G3" s="18" t="s">
        <v>69</v>
      </c>
      <c r="H3" s="16" t="s">
        <v>70</v>
      </c>
      <c r="I3" s="21" t="s">
        <v>53</v>
      </c>
      <c r="J3" s="38"/>
      <c r="K3" s="9"/>
      <c r="L3" s="9"/>
      <c r="M3" s="9"/>
      <c r="N3" s="38"/>
      <c r="O3" s="9"/>
      <c r="P3" s="38"/>
      <c r="Q3" s="9"/>
      <c r="R3" s="38"/>
      <c r="S3" s="38"/>
      <c r="T3" s="38"/>
      <c r="U3" s="38"/>
      <c r="V3" s="38"/>
      <c r="W3" s="3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16"/>
      <c r="AJ3" s="40"/>
      <c r="AK3" s="40"/>
      <c r="AL3" s="40"/>
      <c r="AM3" s="40"/>
      <c r="AN3" s="40"/>
      <c r="AO3" s="56">
        <f t="shared" si="1"/>
        <v>0</v>
      </c>
    </row>
    <row r="4">
      <c r="A4" s="48" t="s">
        <v>62</v>
      </c>
      <c r="B4" s="8" t="s">
        <v>61</v>
      </c>
      <c r="C4" s="10" t="s">
        <v>52</v>
      </c>
      <c r="D4" s="12"/>
      <c r="E4" s="15"/>
      <c r="F4" s="8" t="s">
        <v>47</v>
      </c>
      <c r="G4" s="18" t="s">
        <v>49</v>
      </c>
      <c r="H4" s="16" t="s">
        <v>51</v>
      </c>
      <c r="I4" s="21" t="s">
        <v>54</v>
      </c>
      <c r="J4" s="38"/>
      <c r="K4" s="9"/>
      <c r="L4" s="9"/>
      <c r="M4" s="9"/>
      <c r="N4" s="38"/>
      <c r="O4" s="9"/>
      <c r="P4" s="38"/>
      <c r="Q4" s="38"/>
      <c r="R4" s="38"/>
      <c r="S4" s="38"/>
      <c r="T4" s="38"/>
      <c r="U4" s="38"/>
      <c r="V4" s="38"/>
      <c r="W4" s="9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56">
        <f t="shared" si="1"/>
        <v>0</v>
      </c>
    </row>
    <row r="5">
      <c r="A5" s="49" t="s">
        <v>64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4">
      <formula1>"UNIMED SÃO CARLOS,AMIL,CASSI,ECONOMUS,VIVEST"</formula1>
    </dataValidation>
    <dataValidation type="list" allowBlank="1" showErrorMessage="1" sqref="D2:D4">
      <formula1>"NOVO PACIENTE,READMISSÃO,TROCA,INTENSIFICAÇÃO,DESMAME,COBERTURA,REVEZAMENTO,VISITA EXTRA"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7" max="7" width="19.5"/>
    <col customWidth="1" min="9" max="9" width="15.0"/>
    <col customWidth="1" min="10" max="10" width="3.63"/>
    <col customWidth="1" min="11" max="11" width="3.38"/>
    <col customWidth="1" min="12" max="12" width="4.0"/>
    <col customWidth="1" min="13" max="13" width="3.25"/>
    <col customWidth="1" min="14" max="14" width="3.13"/>
    <col customWidth="1" min="15" max="15" width="3.5"/>
    <col customWidth="1" min="16" max="17" width="3.63"/>
    <col customWidth="1" min="18" max="18" width="3.75"/>
    <col customWidth="1" min="19" max="19" width="4.13"/>
    <col customWidth="1" min="20" max="20" width="4.25"/>
    <col customWidth="1" min="21" max="21" width="4.5"/>
    <col customWidth="1" min="22" max="22" width="3.75"/>
    <col customWidth="1" min="23" max="23" width="4.38"/>
    <col customWidth="1" min="24" max="24" width="3.25"/>
    <col customWidth="1" min="25" max="25" width="3.38"/>
    <col customWidth="1" min="26" max="26" width="3.63"/>
    <col customWidth="1" min="27" max="27" width="4.13"/>
    <col customWidth="1" min="28" max="28" width="3.75"/>
    <col customWidth="1" min="29" max="30" width="3.63"/>
    <col customWidth="1" min="31" max="31" width="3.5"/>
    <col customWidth="1" min="32" max="33" width="3.63"/>
    <col customWidth="1" min="34" max="34" width="3.75"/>
    <col customWidth="1" min="35" max="35" width="3.5"/>
    <col customWidth="1" min="36" max="36" width="3.63"/>
    <col customWidth="1" min="37" max="37" width="3.25"/>
    <col customWidth="1" min="38" max="38" width="3.5"/>
    <col customWidth="1" min="39" max="39" width="2.88"/>
    <col customWidth="1" min="40" max="40" width="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46" t="s">
        <v>41</v>
      </c>
      <c r="B2" s="9" t="s">
        <v>43</v>
      </c>
      <c r="C2" s="11" t="s">
        <v>52</v>
      </c>
      <c r="D2" s="13"/>
      <c r="E2" s="15"/>
      <c r="F2" s="16" t="s">
        <v>47</v>
      </c>
      <c r="G2" s="18" t="s">
        <v>49</v>
      </c>
      <c r="H2" s="16" t="s">
        <v>51</v>
      </c>
      <c r="I2" s="21" t="s">
        <v>54</v>
      </c>
      <c r="J2" s="24"/>
      <c r="K2" s="9"/>
      <c r="L2" s="9"/>
      <c r="M2" s="9"/>
      <c r="N2" s="9"/>
      <c r="O2" s="9"/>
      <c r="P2" s="9"/>
      <c r="Q2" s="9">
        <v>1.0</v>
      </c>
      <c r="R2" s="9"/>
      <c r="S2" s="9"/>
      <c r="T2" s="9"/>
      <c r="U2" s="9"/>
      <c r="V2" s="9"/>
      <c r="W2" s="9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56">
        <f t="shared" ref="AO2:AO4" si="1">AN2+AM2+AL2+AK2+AJ2+AI2+AH2+AG2+AF2+AE2+AD2+AC2+AB2+AA2+Z2+Y2+X2+W2+V2+U2+T2+S2+R2+Q2+P2+O2+N2+M2+L2+K2+J2</f>
        <v>1</v>
      </c>
    </row>
    <row r="3">
      <c r="A3" s="47" t="s">
        <v>55</v>
      </c>
      <c r="B3" s="8" t="s">
        <v>67</v>
      </c>
      <c r="C3" s="10" t="s">
        <v>44</v>
      </c>
      <c r="D3" s="12"/>
      <c r="E3" s="15"/>
      <c r="F3" s="8" t="s">
        <v>68</v>
      </c>
      <c r="G3" s="18" t="s">
        <v>69</v>
      </c>
      <c r="H3" s="16" t="s">
        <v>70</v>
      </c>
      <c r="I3" s="21" t="s">
        <v>53</v>
      </c>
      <c r="J3" s="38"/>
      <c r="K3" s="9"/>
      <c r="L3" s="9"/>
      <c r="M3" s="9"/>
      <c r="N3" s="38"/>
      <c r="O3" s="9"/>
      <c r="P3" s="38"/>
      <c r="Q3" s="9"/>
      <c r="R3" s="38"/>
      <c r="S3" s="38"/>
      <c r="T3" s="38"/>
      <c r="U3" s="38"/>
      <c r="V3" s="38"/>
      <c r="W3" s="3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16"/>
      <c r="AJ3" s="16">
        <v>1.0</v>
      </c>
      <c r="AK3" s="40"/>
      <c r="AL3" s="40"/>
      <c r="AM3" s="40"/>
      <c r="AN3" s="40"/>
      <c r="AO3" s="56">
        <f t="shared" si="1"/>
        <v>1</v>
      </c>
    </row>
    <row r="4">
      <c r="A4" s="48" t="s">
        <v>62</v>
      </c>
      <c r="B4" s="8" t="s">
        <v>61</v>
      </c>
      <c r="C4" s="10" t="s">
        <v>52</v>
      </c>
      <c r="D4" s="12"/>
      <c r="E4" s="15"/>
      <c r="F4" s="8" t="s">
        <v>47</v>
      </c>
      <c r="G4" s="18" t="s">
        <v>49</v>
      </c>
      <c r="H4" s="16" t="s">
        <v>51</v>
      </c>
      <c r="I4" s="21" t="s">
        <v>54</v>
      </c>
      <c r="J4" s="38"/>
      <c r="K4" s="9"/>
      <c r="L4" s="9"/>
      <c r="M4" s="9"/>
      <c r="N4" s="38"/>
      <c r="O4" s="9"/>
      <c r="P4" s="38"/>
      <c r="Q4" s="38"/>
      <c r="R4" s="38"/>
      <c r="S4" s="38"/>
      <c r="T4" s="9">
        <v>1.0</v>
      </c>
      <c r="U4" s="38"/>
      <c r="V4" s="38"/>
      <c r="W4" s="9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56">
        <f t="shared" si="1"/>
        <v>1</v>
      </c>
    </row>
    <row r="5">
      <c r="A5" s="49" t="s">
        <v>64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4">
      <formula1>"UNIMED SÃO CARLOS,AMIL,CASSI,ECONOMUS,VIVEST"</formula1>
    </dataValidation>
    <dataValidation type="list" allowBlank="1" showErrorMessage="1" sqref="D2:D4">
      <formula1>"NOVO PACIENTE,READMISSÃO,TROCA,INTENSIFICAÇÃO,DESMAME,COBERTURA,REVEZAMENTO,VISITA EXTRA"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7" max="7" width="19.5"/>
    <col customWidth="1" min="9" max="9" width="15.0"/>
    <col customWidth="1" min="10" max="10" width="3.63"/>
    <col customWidth="1" min="11" max="11" width="3.38"/>
    <col customWidth="1" min="12" max="12" width="4.0"/>
    <col customWidth="1" min="13" max="13" width="3.25"/>
    <col customWidth="1" min="14" max="14" width="3.13"/>
    <col customWidth="1" min="15" max="15" width="3.5"/>
    <col customWidth="1" min="16" max="17" width="3.63"/>
    <col customWidth="1" min="18" max="18" width="3.75"/>
    <col customWidth="1" min="19" max="19" width="4.13"/>
    <col customWidth="1" min="20" max="20" width="4.25"/>
    <col customWidth="1" min="21" max="21" width="4.5"/>
    <col customWidth="1" min="22" max="22" width="3.75"/>
    <col customWidth="1" min="23" max="23" width="4.38"/>
    <col customWidth="1" min="24" max="24" width="3.25"/>
    <col customWidth="1" min="25" max="25" width="3.38"/>
    <col customWidth="1" min="26" max="26" width="3.63"/>
    <col customWidth="1" min="27" max="27" width="4.13"/>
    <col customWidth="1" min="28" max="28" width="3.75"/>
    <col customWidth="1" min="29" max="30" width="3.63"/>
    <col customWidth="1" min="31" max="31" width="3.5"/>
    <col customWidth="1" min="32" max="33" width="3.63"/>
    <col customWidth="1" min="34" max="34" width="3.75"/>
    <col customWidth="1" min="35" max="35" width="3.5"/>
    <col customWidth="1" min="36" max="36" width="3.63"/>
    <col customWidth="1" min="37" max="37" width="3.25"/>
    <col customWidth="1" min="38" max="38" width="3.5"/>
    <col customWidth="1" min="39" max="39" width="2.88"/>
    <col customWidth="1" min="40" max="40" width="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46" t="s">
        <v>41</v>
      </c>
      <c r="B2" s="9" t="s">
        <v>43</v>
      </c>
      <c r="C2" s="11" t="s">
        <v>52</v>
      </c>
      <c r="D2" s="13"/>
      <c r="E2" s="15"/>
      <c r="F2" s="16" t="s">
        <v>47</v>
      </c>
      <c r="G2" s="18" t="s">
        <v>49</v>
      </c>
      <c r="H2" s="16" t="s">
        <v>51</v>
      </c>
      <c r="I2" s="21" t="s">
        <v>54</v>
      </c>
      <c r="J2" s="53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6">
        <f t="shared" ref="AO2:AO4" si="1">AN2+AM2+AL2+AK2+AJ2+AI2+AH2+AG2+AF2+AE2+AD2+AC2+AB2+AA2+Z2+Y2+X2+W2+V2+U2+T2+S2+R2+Q2+P2+O2+N2+M2+L2+K2+J2</f>
        <v>0</v>
      </c>
    </row>
    <row r="3">
      <c r="A3" s="47" t="s">
        <v>55</v>
      </c>
      <c r="B3" s="8" t="s">
        <v>67</v>
      </c>
      <c r="C3" s="10" t="s">
        <v>44</v>
      </c>
      <c r="D3" s="12"/>
      <c r="E3" s="15"/>
      <c r="F3" s="8" t="s">
        <v>68</v>
      </c>
      <c r="G3" s="18" t="s">
        <v>69</v>
      </c>
      <c r="H3" s="16" t="s">
        <v>70</v>
      </c>
      <c r="I3" s="21" t="s">
        <v>53</v>
      </c>
      <c r="J3" s="38"/>
      <c r="K3" s="9"/>
      <c r="L3" s="9"/>
      <c r="M3" s="9"/>
      <c r="N3" s="38"/>
      <c r="O3" s="9"/>
      <c r="P3" s="38"/>
      <c r="Q3" s="9"/>
      <c r="R3" s="38"/>
      <c r="S3" s="38"/>
      <c r="T3" s="38"/>
      <c r="U3" s="38"/>
      <c r="V3" s="38"/>
      <c r="W3" s="3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16"/>
      <c r="AJ3" s="16"/>
      <c r="AK3" s="40"/>
      <c r="AL3" s="40"/>
      <c r="AM3" s="16">
        <v>1.0</v>
      </c>
      <c r="AN3" s="40"/>
      <c r="AO3" s="56">
        <f t="shared" si="1"/>
        <v>1</v>
      </c>
    </row>
    <row r="4">
      <c r="A4" s="48" t="s">
        <v>62</v>
      </c>
      <c r="B4" s="8" t="s">
        <v>61</v>
      </c>
      <c r="C4" s="10" t="s">
        <v>52</v>
      </c>
      <c r="D4" s="12"/>
      <c r="E4" s="15"/>
      <c r="F4" s="8" t="s">
        <v>47</v>
      </c>
      <c r="G4" s="18" t="s">
        <v>49</v>
      </c>
      <c r="H4" s="16" t="s">
        <v>51</v>
      </c>
      <c r="I4" s="21" t="s">
        <v>54</v>
      </c>
      <c r="J4" s="57"/>
      <c r="K4" s="54"/>
      <c r="L4" s="54"/>
      <c r="M4" s="54"/>
      <c r="N4" s="57"/>
      <c r="O4" s="54"/>
      <c r="P4" s="57"/>
      <c r="Q4" s="57"/>
      <c r="R4" s="57"/>
      <c r="S4" s="57"/>
      <c r="T4" s="54"/>
      <c r="U4" s="57"/>
      <c r="V4" s="57"/>
      <c r="W4" s="54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6">
        <f t="shared" si="1"/>
        <v>0</v>
      </c>
    </row>
    <row r="5">
      <c r="A5" s="49" t="s">
        <v>64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4">
      <formula1>"UNIMED SÃO CARLOS,AMIL,CASSI,ECONOMUS,VIVEST"</formula1>
    </dataValidation>
    <dataValidation type="list" allowBlank="1" showErrorMessage="1" sqref="D2:D4">
      <formula1>"NOVO PACIENTE,READMISSÃO,TROCA,INTENSIFICAÇÃO,DESMAME,COBERTURA,REVEZAMENTO,VISITA EXTRA"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7" max="7" width="19.5"/>
    <col customWidth="1" min="9" max="9" width="15.0"/>
    <col customWidth="1" min="10" max="10" width="3.63"/>
    <col customWidth="1" min="11" max="11" width="3.38"/>
    <col customWidth="1" min="12" max="12" width="4.0"/>
    <col customWidth="1" min="13" max="13" width="3.25"/>
    <col customWidth="1" min="14" max="14" width="3.13"/>
    <col customWidth="1" min="15" max="15" width="3.5"/>
    <col customWidth="1" min="16" max="17" width="3.63"/>
    <col customWidth="1" min="18" max="18" width="3.75"/>
    <col customWidth="1" min="19" max="19" width="4.13"/>
    <col customWidth="1" min="20" max="20" width="4.25"/>
    <col customWidth="1" min="21" max="21" width="4.5"/>
    <col customWidth="1" min="22" max="22" width="3.75"/>
    <col customWidth="1" min="23" max="23" width="4.38"/>
    <col customWidth="1" min="24" max="24" width="3.25"/>
    <col customWidth="1" min="25" max="25" width="3.38"/>
    <col customWidth="1" min="26" max="26" width="3.63"/>
    <col customWidth="1" min="27" max="27" width="4.13"/>
    <col customWidth="1" min="28" max="28" width="3.75"/>
    <col customWidth="1" min="29" max="30" width="3.63"/>
    <col customWidth="1" min="31" max="31" width="3.5"/>
    <col customWidth="1" min="32" max="33" width="3.63"/>
    <col customWidth="1" min="34" max="34" width="3.75"/>
    <col customWidth="1" min="35" max="35" width="3.5"/>
    <col customWidth="1" min="36" max="36" width="3.63"/>
    <col customWidth="1" min="37" max="37" width="3.25"/>
    <col customWidth="1" min="38" max="38" width="3.5"/>
    <col customWidth="1" min="39" max="39" width="2.88"/>
    <col customWidth="1" min="40" max="40" width="4.63"/>
    <col customWidth="1" min="42" max="42" width="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60" t="s">
        <v>71</v>
      </c>
    </row>
    <row r="2">
      <c r="A2" s="46" t="s">
        <v>41</v>
      </c>
      <c r="B2" s="9" t="s">
        <v>43</v>
      </c>
      <c r="C2" s="11" t="s">
        <v>52</v>
      </c>
      <c r="D2" s="13"/>
      <c r="E2" s="15"/>
      <c r="F2" s="16" t="s">
        <v>47</v>
      </c>
      <c r="G2" s="18" t="s">
        <v>49</v>
      </c>
      <c r="H2" s="16" t="s">
        <v>51</v>
      </c>
      <c r="I2" s="21" t="s">
        <v>54</v>
      </c>
      <c r="J2" s="24"/>
      <c r="K2" s="9"/>
      <c r="L2" s="9"/>
      <c r="M2" s="9"/>
      <c r="N2" s="9">
        <v>1.0</v>
      </c>
      <c r="O2" s="9"/>
      <c r="P2" s="9"/>
      <c r="Q2" s="9"/>
      <c r="R2" s="9"/>
      <c r="S2" s="9"/>
      <c r="T2" s="9"/>
      <c r="U2" s="9"/>
      <c r="V2" s="9"/>
      <c r="W2" s="9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56">
        <f t="shared" ref="AO2:AO4" si="1">AN2+AM2+AL2+AK2+AJ2+AI2+AH2+AG2+AF2+AE2+AD2+AC2+AB2+AA2+Z2+Y2+X2+W2+V2+U2+T2+S2+R2+Q2+P2+O2+N2+M2+L2+K2+J2</f>
        <v>1</v>
      </c>
      <c r="AP2" s="61"/>
    </row>
    <row r="3">
      <c r="A3" s="47" t="s">
        <v>55</v>
      </c>
      <c r="B3" s="8" t="s">
        <v>67</v>
      </c>
      <c r="C3" s="10" t="s">
        <v>44</v>
      </c>
      <c r="D3" s="12"/>
      <c r="E3" s="15"/>
      <c r="F3" s="8" t="s">
        <v>68</v>
      </c>
      <c r="G3" s="18" t="s">
        <v>69</v>
      </c>
      <c r="H3" s="16" t="s">
        <v>70</v>
      </c>
      <c r="I3" s="21" t="s">
        <v>53</v>
      </c>
      <c r="J3" s="38"/>
      <c r="K3" s="9"/>
      <c r="L3" s="9"/>
      <c r="M3" s="9"/>
      <c r="N3" s="38"/>
      <c r="O3" s="9"/>
      <c r="P3" s="38"/>
      <c r="Q3" s="9"/>
      <c r="R3" s="38"/>
      <c r="S3" s="38"/>
      <c r="T3" s="38"/>
      <c r="U3" s="38"/>
      <c r="V3" s="38"/>
      <c r="W3" s="38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16"/>
      <c r="AJ3" s="16"/>
      <c r="AK3" s="40"/>
      <c r="AL3" s="40"/>
      <c r="AM3" s="16">
        <v>1.0</v>
      </c>
      <c r="AN3" s="40"/>
      <c r="AO3" s="56">
        <f t="shared" si="1"/>
        <v>1</v>
      </c>
      <c r="AP3" s="62" t="s">
        <v>72</v>
      </c>
    </row>
    <row r="4">
      <c r="A4" s="48" t="s">
        <v>62</v>
      </c>
      <c r="B4" s="8" t="s">
        <v>61</v>
      </c>
      <c r="C4" s="10" t="s">
        <v>52</v>
      </c>
      <c r="D4" s="12"/>
      <c r="E4" s="15"/>
      <c r="F4" s="8" t="s">
        <v>47</v>
      </c>
      <c r="G4" s="18" t="s">
        <v>49</v>
      </c>
      <c r="H4" s="16" t="s">
        <v>51</v>
      </c>
      <c r="I4" s="21" t="s">
        <v>54</v>
      </c>
      <c r="J4" s="38"/>
      <c r="K4" s="9"/>
      <c r="L4" s="9"/>
      <c r="M4" s="9"/>
      <c r="N4" s="38"/>
      <c r="O4" s="9">
        <v>1.0</v>
      </c>
      <c r="P4" s="38"/>
      <c r="Q4" s="38"/>
      <c r="R4" s="38"/>
      <c r="S4" s="38"/>
      <c r="T4" s="9"/>
      <c r="U4" s="38"/>
      <c r="V4" s="38"/>
      <c r="W4" s="9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56">
        <f t="shared" si="1"/>
        <v>1</v>
      </c>
      <c r="AP4" s="61"/>
    </row>
    <row r="5">
      <c r="A5" s="49" t="s">
        <v>64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4">
      <formula1>"UNIMED SÃO CARLOS,AMIL,CASSI,ECONOMUS,VIVEST"</formula1>
    </dataValidation>
    <dataValidation type="list" allowBlank="1" showErrorMessage="1" sqref="D2:D4">
      <formula1>"NOVO PACIENTE,READMISSÃO,TROCA,INTENSIFICAÇÃO,DESMAME,COBERTURA,REVEZAMENTO,VISITA EXTRA"</formula1>
    </dataValidation>
  </dataValidation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5.63"/>
    <col customWidth="1" min="3" max="3" width="18.25"/>
    <col customWidth="1" min="7" max="7" width="23.13"/>
    <col customWidth="1" min="9" max="9" width="15.0"/>
    <col customWidth="1" min="10" max="40" width="4.63"/>
    <col customWidth="1" min="41" max="41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63" t="s">
        <v>73</v>
      </c>
      <c r="B2" s="64" t="s">
        <v>43</v>
      </c>
      <c r="C2" s="11" t="s">
        <v>52</v>
      </c>
      <c r="D2" s="13"/>
      <c r="E2" s="15"/>
      <c r="F2" s="16" t="s">
        <v>47</v>
      </c>
      <c r="G2" s="18" t="s">
        <v>49</v>
      </c>
      <c r="H2" s="16" t="s">
        <v>51</v>
      </c>
      <c r="I2" s="21" t="s">
        <v>54</v>
      </c>
      <c r="J2" s="65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66"/>
      <c r="W2" s="66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56">
        <f t="shared" ref="AO2:AO4" si="1">AN2+AM2+AL2+AK2+AJ2+AI2+AH2+AG2+AF2+AE2+AD2+AC2+AB2+AA2+Z2+Y2+X2+W2+V2+U2+T2+S2+R2+Q2+P2+O2+N2+M2+L2+K2+J2</f>
        <v>0</v>
      </c>
    </row>
    <row r="3">
      <c r="A3" s="68" t="s">
        <v>41</v>
      </c>
      <c r="B3" s="8" t="s">
        <v>67</v>
      </c>
      <c r="C3" s="10" t="s">
        <v>44</v>
      </c>
      <c r="D3" s="12"/>
      <c r="E3" s="15"/>
      <c r="F3" s="8" t="s">
        <v>68</v>
      </c>
      <c r="G3" s="18" t="s">
        <v>69</v>
      </c>
      <c r="H3" s="16" t="s">
        <v>70</v>
      </c>
      <c r="I3" s="21" t="s">
        <v>53</v>
      </c>
      <c r="J3" s="9"/>
      <c r="K3" s="9"/>
      <c r="L3" s="9"/>
      <c r="M3" s="9"/>
      <c r="N3" s="38"/>
      <c r="O3" s="9"/>
      <c r="P3" s="38"/>
      <c r="Q3" s="9"/>
      <c r="R3" s="38"/>
      <c r="S3" s="38"/>
      <c r="T3" s="38"/>
      <c r="U3" s="38"/>
      <c r="V3" s="38"/>
      <c r="W3" s="38"/>
      <c r="X3" s="40"/>
      <c r="Y3" s="40"/>
      <c r="Z3" s="40"/>
      <c r="AA3" s="40"/>
      <c r="AB3" s="40"/>
      <c r="AC3" s="16"/>
      <c r="AD3" s="40"/>
      <c r="AE3" s="40"/>
      <c r="AF3" s="40"/>
      <c r="AG3" s="40"/>
      <c r="AH3" s="40"/>
      <c r="AI3" s="16"/>
      <c r="AJ3" s="16">
        <v>1.0</v>
      </c>
      <c r="AK3" s="40"/>
      <c r="AL3" s="40"/>
      <c r="AM3" s="16"/>
      <c r="AN3" s="40"/>
      <c r="AO3" s="56">
        <f t="shared" si="1"/>
        <v>1</v>
      </c>
    </row>
    <row r="4">
      <c r="A4" s="69" t="s">
        <v>62</v>
      </c>
      <c r="B4" s="70" t="s">
        <v>61</v>
      </c>
      <c r="C4" s="10" t="s">
        <v>52</v>
      </c>
      <c r="D4" s="12"/>
      <c r="E4" s="15"/>
      <c r="F4" s="8" t="s">
        <v>47</v>
      </c>
      <c r="G4" s="18" t="s">
        <v>49</v>
      </c>
      <c r="H4" s="16" t="s">
        <v>51</v>
      </c>
      <c r="I4" s="21" t="s">
        <v>54</v>
      </c>
      <c r="J4" s="57"/>
      <c r="K4" s="54"/>
      <c r="L4" s="54"/>
      <c r="M4" s="54"/>
      <c r="N4" s="57"/>
      <c r="O4" s="54"/>
      <c r="P4" s="57"/>
      <c r="Q4" s="57"/>
      <c r="R4" s="57"/>
      <c r="S4" s="57"/>
      <c r="T4" s="54"/>
      <c r="U4" s="57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56">
        <f t="shared" si="1"/>
        <v>0</v>
      </c>
    </row>
    <row r="5">
      <c r="A5" s="71" t="s">
        <v>55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</row>
    <row r="6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</row>
    <row r="7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</row>
    <row r="9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</row>
    <row r="1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4">
      <formula1>"UNIMED SÃO CARLOS,AMIL,CASSI,ECONOMUS,VIVEST"</formula1>
    </dataValidation>
    <dataValidation type="list" allowBlank="1" showErrorMessage="1" sqref="D2:D4">
      <formula1>"NOVO PACIENTE,READMISSÃO,TROCA,INTENSIFICAÇÃO,DESMAME,COBERTURA,REVEZAMENTO,VISITA EXTRA"</formula1>
    </dataValidation>
  </dataValidation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5.63"/>
    <col customWidth="1" min="3" max="3" width="18.25"/>
    <col customWidth="1" min="7" max="7" width="23.13"/>
    <col customWidth="1" min="9" max="9" width="15.0"/>
    <col customWidth="1" min="10" max="40" width="4.63"/>
    <col customWidth="1" min="41" max="42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60" t="s">
        <v>71</v>
      </c>
    </row>
    <row r="2">
      <c r="A2" s="63" t="s">
        <v>73</v>
      </c>
      <c r="B2" s="8" t="s">
        <v>67</v>
      </c>
      <c r="C2" s="10" t="s">
        <v>44</v>
      </c>
      <c r="D2" s="12"/>
      <c r="E2" s="15"/>
      <c r="F2" s="8" t="s">
        <v>68</v>
      </c>
      <c r="G2" s="18" t="s">
        <v>69</v>
      </c>
      <c r="H2" s="16" t="s">
        <v>70</v>
      </c>
      <c r="I2" s="21" t="s">
        <v>53</v>
      </c>
      <c r="J2" s="38"/>
      <c r="K2" s="9"/>
      <c r="L2" s="9"/>
      <c r="M2" s="9"/>
      <c r="N2" s="38"/>
      <c r="O2" s="9"/>
      <c r="P2" s="38"/>
      <c r="Q2" s="9"/>
      <c r="R2" s="38"/>
      <c r="S2" s="38"/>
      <c r="T2" s="38"/>
      <c r="U2" s="38"/>
      <c r="V2" s="38"/>
      <c r="W2" s="38"/>
      <c r="X2" s="40"/>
      <c r="Y2" s="40"/>
      <c r="Z2" s="40"/>
      <c r="AA2" s="40"/>
      <c r="AB2" s="40"/>
      <c r="AC2" s="16"/>
      <c r="AD2" s="40"/>
      <c r="AE2" s="40"/>
      <c r="AF2" s="40"/>
      <c r="AG2" s="40"/>
      <c r="AH2" s="40"/>
      <c r="AI2" s="16"/>
      <c r="AJ2" s="16"/>
      <c r="AK2" s="40"/>
      <c r="AL2" s="40"/>
      <c r="AM2" s="16"/>
      <c r="AN2" s="40"/>
      <c r="AO2" s="56">
        <f>AN2+AM2+AL2+AK2+AJ2+AI2+AH2+AG2+AF2+AE2+AD2+AC2+AB2+AA2+Z2+Y2+X2+W2+V2+U2+T2+S2+R2+Q2+P2+O2+N2+M2+L2+K2+J2</f>
        <v>0</v>
      </c>
      <c r="AP2" s="56"/>
    </row>
    <row r="3">
      <c r="A3" s="68" t="s">
        <v>41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</row>
    <row r="4">
      <c r="A4" s="69" t="s">
        <v>62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</row>
    <row r="5">
      <c r="A5" s="71" t="s">
        <v>55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</row>
    <row r="6"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</row>
    <row r="7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</row>
    <row r="9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</row>
    <row r="10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</row>
    <row r="1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"UNIMED SÃO CARLOS,AMIL,CASSI,ECONOMUS,VIVEST"</formula1>
    </dataValidation>
    <dataValidation type="list" allowBlank="1" showErrorMessage="1" sqref="D2">
      <formula1>"NOVO PACIENTE,READMISSÃO,TROCA,INTENSIFICAÇÃO,DESMAME,COBERTURA,REVEZAMENTO,VISITA EXTRA"</formula1>
    </dataValidation>
  </dataValidations>
  <drawing r:id="rId1"/>
</worksheet>
</file>