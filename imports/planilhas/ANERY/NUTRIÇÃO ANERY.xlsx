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IO25" sheetId="1" r:id="rId5"/>
    <sheet state="hidden" name="JUNHO25" sheetId="2" r:id="rId6"/>
    <sheet state="hidden" name="JULHO25" sheetId="3" r:id="rId7"/>
    <sheet state="hidden" name="AGOSTO25" sheetId="4" r:id="rId8"/>
    <sheet state="hidden" name="SETEMBRO25" sheetId="5" r:id="rId9"/>
    <sheet state="hidden" name="OUTUBRO25" sheetId="6" r:id="rId10"/>
    <sheet state="hidden" name="NOVEMBRO25" sheetId="7" r:id="rId11"/>
    <sheet state="hidden" name="DEZEMBRO25" sheetId="8" r:id="rId12"/>
    <sheet state="hidden" name="JANEIRO26" sheetId="9" r:id="rId13"/>
    <sheet state="hidden" name="FEVEREIRO26" sheetId="10" r:id="rId14"/>
    <sheet state="hidden" name="MARÇO26" sheetId="11" r:id="rId15"/>
    <sheet state="hidden" name="ABRIL26" sheetId="12" r:id="rId16"/>
    <sheet state="hidden" name="MAIO26" sheetId="13" r:id="rId17"/>
    <sheet state="visible" name="JUNHO26" sheetId="14" r:id="rId18"/>
    <sheet state="visible" name="JULHO26" sheetId="15" r:id="rId19"/>
    <sheet state="visible" name="AGOSTO26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ímpar</t>
      </text>
    </comment>
    <comment authorId="0" ref="I6">
      <text>
        <t xml:space="preserve">ímpar</t>
      </text>
    </comment>
    <comment authorId="0" ref="I4">
      <text>
        <t xml:space="preserve">Par
-Autorizado 1 visita em Julho e após suguir normalmente com os atendimentos bimestrais par </t>
      </text>
    </comment>
    <comment authorId="0" ref="I16">
      <text>
        <t xml:space="preserve">Par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ímpar</t>
      </text>
    </comment>
    <comment authorId="0" ref="G5">
      <text>
        <t xml:space="preserve">Profissional se ausentou dos atendimentos a partir de 26/08, devido licença maternidade </t>
      </text>
    </comment>
    <comment authorId="0" ref="I7">
      <text>
        <t xml:space="preserve">ímpar</t>
      </text>
    </comment>
    <comment authorId="0" ref="I4">
      <text>
        <t xml:space="preserve">Par</t>
      </text>
    </comment>
    <comment authorId="0" ref="B11">
      <text>
        <t xml:space="preserve">Família solicitou a troca de profissional </t>
      </text>
    </comment>
    <comment authorId="0" ref="I16">
      <text>
        <t xml:space="preserve">Par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ímpar</t>
      </text>
    </comment>
    <comment authorId="0" ref="I7">
      <text>
        <t xml:space="preserve">ímpar</t>
      </text>
    </comment>
    <comment authorId="0" ref="I4">
      <text>
        <t xml:space="preserve">Par</t>
      </text>
    </comment>
    <comment authorId="0" ref="I14">
      <text>
        <t xml:space="preserve">Par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ímpar</t>
      </text>
    </comment>
    <comment authorId="0" ref="I6">
      <text>
        <t xml:space="preserve">ímpar</t>
      </text>
    </comment>
    <comment authorId="0" ref="I13">
      <text>
        <t xml:space="preserve">Par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ímpar</t>
      </text>
    </comment>
    <comment authorId="0" ref="I6">
      <text>
        <t xml:space="preserve">ímpar</t>
      </text>
    </comment>
    <comment authorId="0" ref="I12">
      <text>
        <t xml:space="preserve">Par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ímpar</t>
      </text>
    </comment>
    <comment authorId="0" ref="I4">
      <text>
        <t xml:space="preserve">ímpar</t>
      </text>
    </comment>
    <comment authorId="0" ref="I11">
      <text>
        <t xml:space="preserve">Par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ímpar</t>
      </text>
    </comment>
    <comment authorId="0" ref="I4">
      <text>
        <t xml:space="preserve">ímpar</t>
      </text>
    </comment>
    <comment authorId="0" ref="I10">
      <text>
        <t xml:space="preserve">Par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ímpar</t>
      </text>
    </comment>
    <comment authorId="0" ref="I4">
      <text>
        <t xml:space="preserve">ímpar</t>
      </text>
    </comment>
    <comment authorId="0" ref="I10">
      <text>
        <t xml:space="preserve">Par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ímpar</t>
      </text>
    </comment>
    <comment authorId="0" ref="I3">
      <text>
        <t xml:space="preserve">Par</t>
      </text>
    </comment>
    <comment authorId="0" ref="I11">
      <text>
        <t xml:space="preserve">Par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7">
      <text>
        <t xml:space="preserve">ímpar</t>
      </text>
    </comment>
    <comment authorId="0" ref="I5">
      <text>
        <t xml:space="preserve">ímpar</t>
      </text>
    </comment>
    <comment authorId="0" ref="I4">
      <text>
        <t xml:space="preserve">Par</t>
      </text>
    </comment>
    <comment authorId="0" ref="I15">
      <text>
        <t xml:space="preserve">Par</t>
      </text>
    </comment>
    <comment authorId="0" ref="I11">
      <text>
        <t xml:space="preserve">par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par</t>
      </text>
    </comment>
    <comment authorId="0" ref="G6">
      <text>
        <t xml:space="preserve">Profissional declinou em maio.</t>
      </text>
    </comment>
    <comment authorId="0" ref="I6">
      <text>
        <t xml:space="preserve">ímpar</t>
      </text>
    </comment>
    <comment authorId="0" ref="I4">
      <text>
        <t xml:space="preserve">ímpar</t>
      </text>
    </comment>
    <comment authorId="0" ref="I3">
      <text>
        <t xml:space="preserve">Par</t>
      </text>
    </comment>
    <comment authorId="0" ref="B12">
      <text>
        <t xml:space="preserve">Alta dos atendimentos em 31/05/2026</t>
      </text>
    </comment>
    <comment authorId="0" ref="I13">
      <text>
        <t xml:space="preserve">Par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Par</t>
      </text>
    </comment>
    <comment authorId="0" ref="I6">
      <text>
        <t xml:space="preserve">par</t>
      </text>
    </comment>
    <comment authorId="0" ref="I4">
      <text>
        <t xml:space="preserve">ímpar</t>
      </text>
    </comment>
    <comment authorId="0" ref="I3">
      <text>
        <t xml:space="preserve">Par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Profissional declinou em 22/07/2026, nenhum atendimento foi realizado </t>
      </text>
    </comment>
    <comment authorId="0" ref="B14">
      <text>
        <t xml:space="preserve">Atendimentos suspensos a partir de 01/08/2026</t>
      </text>
    </comment>
    <comment authorId="0" ref="I4">
      <text>
        <t xml:space="preserve">Par</t>
      </text>
    </comment>
    <comment authorId="0" ref="I17">
      <text>
        <t xml:space="preserve">Par</t>
      </text>
    </comment>
    <comment authorId="0" ref="I11">
      <text>
        <t xml:space="preserve">par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Par</t>
      </text>
    </comment>
    <comment authorId="0" ref="I18">
      <text>
        <t xml:space="preserve">Par</t>
      </text>
    </comment>
    <comment authorId="0" ref="I13">
      <text>
        <t xml:space="preserve">par</t>
      </text>
    </comment>
  </commentList>
</comments>
</file>

<file path=xl/sharedStrings.xml><?xml version="1.0" encoding="utf-8"?>
<sst xmlns="http://schemas.openxmlformats.org/spreadsheetml/2006/main" count="2295" uniqueCount="209">
  <si>
    <t xml:space="preserve"> STATUS</t>
  </si>
  <si>
    <t>PACIENTE</t>
  </si>
  <si>
    <t>CONVÊNIO</t>
  </si>
  <si>
    <t>MOTIVO</t>
  </si>
  <si>
    <t>DATA</t>
  </si>
  <si>
    <t>CIDADE</t>
  </si>
  <si>
    <t xml:space="preserve">PROFISSIONAIS </t>
  </si>
  <si>
    <t>CONTATO</t>
  </si>
  <si>
    <t>PAD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</si>
  <si>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</si>
  <si>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</si>
  <si>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</si>
  <si>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</si>
  <si>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</si>
  <si>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</si>
  <si>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</si>
  <si>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</si>
  <si>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</si>
  <si>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</si>
  <si>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</si>
  <si>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INSERIDO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</si>
  <si>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</si>
  <si>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</si>
  <si>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</si>
  <si>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</si>
  <si>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</si>
  <si>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</si>
  <si>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</si>
  <si>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</si>
  <si>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</si>
  <si>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</si>
  <si>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</si>
  <si>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</si>
  <si>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</si>
  <si>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</si>
  <si>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</si>
  <si>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</si>
  <si>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</si>
  <si>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</si>
  <si>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</si>
  <si>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</si>
  <si>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</t>
  </si>
  <si>
    <t>INTERNAÇÃO</t>
  </si>
  <si>
    <t xml:space="preserve">CRISTINA CONCEICAO SILVA </t>
  </si>
  <si>
    <t>UNIMED NACIONAL</t>
  </si>
  <si>
    <t>NOVO PACIENTE</t>
  </si>
  <si>
    <t>ANTONIO HERALDO DA COSTA</t>
  </si>
  <si>
    <t xml:space="preserve">SÃO VICENTE </t>
  </si>
  <si>
    <t>Julia de Oliveira Zu Correia</t>
  </si>
  <si>
    <t>PASA</t>
  </si>
  <si>
    <t>13 99169-0522</t>
  </si>
  <si>
    <t>1X/MÊS</t>
  </si>
  <si>
    <t>MARIANA</t>
  </si>
  <si>
    <t>Lohanne Larissa Pereira</t>
  </si>
  <si>
    <t>31 8204-6766</t>
  </si>
  <si>
    <t>HELENA KLEIN ALMEIDA</t>
  </si>
  <si>
    <t>UNIMED SÃO CARLOS</t>
  </si>
  <si>
    <t xml:space="preserve">SÃO CARLOS </t>
  </si>
  <si>
    <t>Ana Flávia de Freitas</t>
  </si>
  <si>
    <t xml:space="preserve">17 98118-1030       </t>
  </si>
  <si>
    <t xml:space="preserve">PENDENCIA </t>
  </si>
  <si>
    <t>Ok</t>
  </si>
  <si>
    <t xml:space="preserve">2X/MÊS </t>
  </si>
  <si>
    <t>ANTONIO ROBERTO DE PAULA</t>
  </si>
  <si>
    <t>GOVERNADOR VALADARES</t>
  </si>
  <si>
    <t>Lyvia Farias Rocha</t>
  </si>
  <si>
    <t>33 8402-7472</t>
  </si>
  <si>
    <t>TRIMESTRAL</t>
  </si>
  <si>
    <t>ÓBITO</t>
  </si>
  <si>
    <t>LIGIA DA PENHA CAMPOS</t>
  </si>
  <si>
    <t>INTENSIFICAÇÃO</t>
  </si>
  <si>
    <t xml:space="preserve">IPATINGA  </t>
  </si>
  <si>
    <t>Aryane Cunha Louzada</t>
  </si>
  <si>
    <t>31 8774-8342</t>
  </si>
  <si>
    <t xml:space="preserve">BRUNO FARIA DA COSTA </t>
  </si>
  <si>
    <t>BIMESTRAL</t>
  </si>
  <si>
    <t>S/A</t>
  </si>
  <si>
    <t>MARIA DAS GRACAS FERREIRA</t>
  </si>
  <si>
    <t>VIVEST</t>
  </si>
  <si>
    <t>MOGI DAS CRUZES</t>
  </si>
  <si>
    <t>Bruna Mariana Braga Rego Poiana</t>
  </si>
  <si>
    <t>11 99936-9716</t>
  </si>
  <si>
    <t>OTTO FERREIRA</t>
  </si>
  <si>
    <t>AMIL</t>
  </si>
  <si>
    <t xml:space="preserve">JUNDIAI </t>
  </si>
  <si>
    <t>Elaine Cristina Teixeira Pinto</t>
  </si>
  <si>
    <t>11 95970-5243</t>
  </si>
  <si>
    <t>DARLETE NUNES MENDES</t>
  </si>
  <si>
    <t>SHIRLEI DA CUNHA OLIVEIRA</t>
  </si>
  <si>
    <t>SUZANO</t>
  </si>
  <si>
    <t>Jéssica Geronymo Frias Marciano</t>
  </si>
  <si>
    <t>11 97183-1528</t>
  </si>
  <si>
    <t>ELIZABETH GAVAZZA</t>
  </si>
  <si>
    <t>TROCA</t>
  </si>
  <si>
    <t>CAROLINA MORENO</t>
  </si>
  <si>
    <t>13 99193-8403</t>
  </si>
  <si>
    <t>não teve</t>
  </si>
  <si>
    <t>IZA NOGUEIRA</t>
  </si>
  <si>
    <t>VESPASIANO</t>
  </si>
  <si>
    <t>Cristina Mangerotti Guimarães</t>
  </si>
  <si>
    <t>31 8026-1564</t>
  </si>
  <si>
    <t>DIANA DE SOUZA POLICARPO</t>
  </si>
  <si>
    <t>UNIMED SANTOS</t>
  </si>
  <si>
    <t>SÃO VICENTE</t>
  </si>
  <si>
    <t>2x</t>
  </si>
  <si>
    <t xml:space="preserve">LEOPOLDO ROCHA </t>
  </si>
  <si>
    <t>CONSELHEIRO LAFAIETE</t>
  </si>
  <si>
    <t>Priscila de Oliveira Neves Torres</t>
  </si>
  <si>
    <t>31 8371-2900</t>
  </si>
  <si>
    <t>READMISSÃO</t>
  </si>
  <si>
    <t>MARCIA ELIZABETH PEDRONI</t>
  </si>
  <si>
    <t xml:space="preserve">ALTA </t>
  </si>
  <si>
    <t>RAFAEL CALEBE MARTINS SANTOS</t>
  </si>
  <si>
    <t>BETIM</t>
  </si>
  <si>
    <t>Bertha Carolina Esteves Marzana</t>
  </si>
  <si>
    <t xml:space="preserve">31 8566-6203 </t>
  </si>
  <si>
    <t>RODRIGO BARBOSA DEMARCH</t>
  </si>
  <si>
    <t>UNIMED GUARULHOS</t>
  </si>
  <si>
    <t>ITAQUAQUECETUBA</t>
  </si>
  <si>
    <t>Francieli de Oliveira Almeida</t>
  </si>
  <si>
    <t>11 91015-3487</t>
  </si>
  <si>
    <t>2x ok</t>
  </si>
  <si>
    <t>SUELY MARQUES</t>
  </si>
  <si>
    <t>31 8566-6203</t>
  </si>
  <si>
    <t>2xok</t>
  </si>
  <si>
    <t>Julia Oliveira</t>
  </si>
  <si>
    <t>1x</t>
  </si>
  <si>
    <t xml:space="preserve">LIGIA DA PENHA CAMPOS </t>
  </si>
  <si>
    <t>G</t>
  </si>
  <si>
    <t xml:space="preserve">G </t>
  </si>
  <si>
    <r>
      <rPr>
        <rFont val="Calibri"/>
        <b/>
        <color rgb="FFFFFFFF"/>
      </rPr>
      <t>G</t>
    </r>
    <r>
      <rPr>
        <rFont val="Calibri"/>
        <b/>
        <color rgb="FF000000"/>
      </rPr>
      <t>G</t>
    </r>
  </si>
  <si>
    <t>ELIZABETH GAVAZZA (ok)</t>
  </si>
  <si>
    <t>todos agendados no dia 01/12</t>
  </si>
  <si>
    <t>g</t>
  </si>
  <si>
    <t>PENDÊNCIAS</t>
  </si>
  <si>
    <t>JULIO CESAR ISIDORIO</t>
  </si>
  <si>
    <t>ITAPECERICA DA SERRA</t>
  </si>
  <si>
    <t>Arabela Batista da Costa</t>
  </si>
  <si>
    <t>11 98388-3262</t>
  </si>
  <si>
    <t xml:space="preserve"> LIZ VALERIO RODRIGUES DE OLIVEIRA</t>
  </si>
  <si>
    <t>GUARULHOS</t>
  </si>
  <si>
    <t>Cristiane Pereira</t>
  </si>
  <si>
    <t>11 96697-3613</t>
  </si>
  <si>
    <t>AMELIA AMSTALDEN ZAMBON</t>
  </si>
  <si>
    <t>PIRACICABA</t>
  </si>
  <si>
    <t>Mariah Boralli Prudente dos Anjos Borges</t>
  </si>
  <si>
    <t>19 99112-6335</t>
  </si>
  <si>
    <t>AVALIAÇÃO</t>
  </si>
  <si>
    <t xml:space="preserve">ELIZABETH GAVAZZA </t>
  </si>
  <si>
    <t>sem tablet</t>
  </si>
  <si>
    <t xml:space="preserve"> ISABELLE VITORIA</t>
  </si>
  <si>
    <t xml:space="preserve"> SÃO PAULO</t>
  </si>
  <si>
    <t>Cristiane Meneses</t>
  </si>
  <si>
    <t>(11)98558-0491</t>
  </si>
  <si>
    <t>ISAQUE URCINO DE OLIVEIRA</t>
  </si>
  <si>
    <t>COTIA</t>
  </si>
  <si>
    <t>Myleine Coelho</t>
  </si>
  <si>
    <t xml:space="preserve">g </t>
  </si>
  <si>
    <t>(11)97200-4770</t>
  </si>
  <si>
    <t>DESMAME</t>
  </si>
  <si>
    <t>2x g</t>
  </si>
  <si>
    <t>-</t>
  </si>
  <si>
    <t>carro quebrou</t>
  </si>
  <si>
    <t>FP</t>
  </si>
  <si>
    <t xml:space="preserve">TOTAL </t>
  </si>
  <si>
    <t>ALTA</t>
  </si>
  <si>
    <t>1 ok</t>
  </si>
  <si>
    <t>CRISTIANE R MINOZZO OLIVEIRA</t>
  </si>
  <si>
    <t>BRADESCO</t>
  </si>
  <si>
    <t>DORIVAL BATISTA DE SOUSA</t>
  </si>
  <si>
    <t>SÃO BERNARDO DO CAMPO</t>
  </si>
  <si>
    <t>?</t>
  </si>
  <si>
    <t>Márcia Frattari Maccari</t>
  </si>
  <si>
    <t>11 99953-2461</t>
  </si>
  <si>
    <t>ELISA MARIA NOGUEIRA RAMOS FREITAS</t>
  </si>
  <si>
    <t>SÃO PAULO</t>
  </si>
  <si>
    <t>Daniel Rodrigo Manunta</t>
  </si>
  <si>
    <t>11 98157-2399</t>
  </si>
  <si>
    <t>improdutiva</t>
  </si>
  <si>
    <t>Edvania Alves Nunes da Silva</t>
  </si>
  <si>
    <t>11 95298-4243</t>
  </si>
  <si>
    <t xml:space="preserve">GILBERTO SCHINCARIOL </t>
  </si>
  <si>
    <t>ITU</t>
  </si>
  <si>
    <t>Valéria Gravana dos Santos</t>
  </si>
  <si>
    <t>19 99269-3333</t>
  </si>
  <si>
    <t>GABRIEL FURLAN CHACUR DO CARMO</t>
  </si>
  <si>
    <t>EMBU DAS ARTES</t>
  </si>
  <si>
    <t>ARTHUR DIAS DO NASCIMENTO</t>
  </si>
  <si>
    <t>Ewerton Alcântara Silva</t>
  </si>
  <si>
    <t>11 97676-6319</t>
  </si>
  <si>
    <t>2 ok</t>
  </si>
  <si>
    <t>LEILA JOANA RIBEIRO AUGUSTO</t>
  </si>
  <si>
    <t>11 95298-4243</t>
  </si>
  <si>
    <t>MARCELO MICELI ALCANTARA DE OLIVEIRA</t>
  </si>
  <si>
    <t>Arabela Batista da Costa </t>
  </si>
  <si>
    <t>JULIO CESAR JORGE ISIDORIO</t>
  </si>
  <si>
    <t>MARCUS DAMBROSIO</t>
  </si>
  <si>
    <t>POA</t>
  </si>
  <si>
    <t>JORGE LOPES</t>
  </si>
  <si>
    <t>PORTO SEGURO</t>
  </si>
  <si>
    <t>Deborah Martins dos Santos </t>
  </si>
  <si>
    <t>11 95471-3238</t>
  </si>
  <si>
    <t>1 OK</t>
  </si>
  <si>
    <t>TAINA RITA DE CASSIA RAMOS</t>
  </si>
  <si>
    <t>ATIBAIA</t>
  </si>
  <si>
    <t>Lauriana de Souza Ramos</t>
  </si>
  <si>
    <t>35 9702-8693</t>
  </si>
  <si>
    <t>MANUEL DE OLIVEIRA</t>
  </si>
  <si>
    <t>PONTUAL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</si>
</sst>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  <font>
      <b/>
      <color rgb="FFFFFFFF"/>
      <name val="Calibri"/>
    </font>
    <font>
      <b/>
      <color rgb="FF000000"/>
      <name val="Calibri"/>
    </font>
    <font>
      <sz val="11.0"/>
      <color rgb="FF000000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sz val="12.0"/>
      <color theme="1"/>
      <name val="&quot;Calibri&quot;"/>
    </font>
    <font>
      <b/>
      <color theme="1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2" fillId="2" fontId="1" numFmtId="49" xfId="0" applyAlignment="1" applyBorder="1" applyFont="1" applyNumberFormat="1">
      <alignment horizontal="center"/>
    </xf>
    <xf borderId="2" fillId="2" fontId="1" numFmtId="49" xfId="0" applyAlignment="1" applyBorder="1" applyFont="1" applyNumberFormat="1">
      <alignment horizontal="center" readingOrder="0"/>
    </xf>
    <xf borderId="2" fillId="3" fontId="3" numFmtId="0" xfId="0" applyAlignment="1" applyBorder="1" applyFill="1" applyFont="1">
      <alignment horizontal="center"/>
    </xf>
    <xf borderId="2" fillId="4" fontId="4" numFmtId="0" xfId="0" applyAlignment="1" applyBorder="1" applyFill="1" applyFont="1">
      <alignment horizontal="center" readingOrder="0"/>
    </xf>
    <xf borderId="2" fillId="0" fontId="5" numFmtId="49" xfId="0" applyAlignment="1" applyBorder="1" applyFont="1" applyNumberFormat="1">
      <alignment horizontal="center" readingOrder="0" vertical="bottom"/>
    </xf>
    <xf borderId="1" fillId="0" fontId="5" numFmtId="49" xfId="0" applyAlignment="1" applyBorder="1" applyFont="1" applyNumberFormat="1">
      <alignment horizontal="center" readingOrder="0" vertical="bottom"/>
    </xf>
    <xf borderId="2" fillId="0" fontId="4" numFmtId="164" xfId="0" applyAlignment="1" applyBorder="1" applyFont="1" applyNumberForma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1" fillId="0" fontId="4" numFmtId="49" xfId="0" applyAlignment="1" applyBorder="1" applyFont="1" applyNumberFormat="1">
      <alignment horizontal="center" readingOrder="0" vertical="bottom"/>
    </xf>
    <xf borderId="2" fillId="0" fontId="4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2" fillId="6" fontId="3" numFmtId="0" xfId="0" applyAlignment="1" applyBorder="1" applyFill="1" applyFont="1">
      <alignment horizontal="center" vertical="bottom"/>
    </xf>
    <xf borderId="2" fillId="5" fontId="6" numFmtId="49" xfId="0" applyAlignment="1" applyBorder="1" applyFont="1" applyNumberFormat="1">
      <alignment horizontal="center" readingOrder="0" vertical="center"/>
    </xf>
    <xf borderId="2" fillId="7" fontId="7" numFmtId="0" xfId="0" applyAlignment="1" applyBorder="1" applyFill="1" applyFont="1">
      <alignment horizontal="center" vertical="bottom"/>
    </xf>
    <xf borderId="2" fillId="8" fontId="4" numFmtId="0" xfId="0" applyAlignment="1" applyBorder="1" applyFill="1" applyFont="1">
      <alignment horizontal="center" readingOrder="0"/>
    </xf>
    <xf borderId="2" fillId="5" fontId="7" numFmtId="0" xfId="0" applyAlignment="1" applyBorder="1" applyFont="1">
      <alignment horizontal="center" vertical="bottom"/>
    </xf>
    <xf borderId="0" fillId="5" fontId="7" numFmtId="0" xfId="0" applyAlignment="1" applyFont="1">
      <alignment horizontal="center" vertical="bottom"/>
    </xf>
    <xf borderId="3" fillId="6" fontId="4" numFmtId="0" xfId="0" applyAlignment="1" applyBorder="1" applyFont="1">
      <alignment horizontal="center" readingOrder="0"/>
    </xf>
    <xf borderId="2" fillId="6" fontId="4" numFmtId="0" xfId="0" applyAlignment="1" applyBorder="1" applyFont="1">
      <alignment horizontal="center" readingOrder="0"/>
    </xf>
    <xf borderId="2" fillId="5" fontId="8" numFmtId="0" xfId="0" applyAlignment="1" applyBorder="1" applyFont="1">
      <alignment horizontal="center" readingOrder="0" vertical="bottom"/>
    </xf>
    <xf borderId="2" fillId="4" fontId="9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5" fontId="9" numFmtId="0" xfId="0" applyAlignment="1" applyBorder="1" applyFont="1">
      <alignment horizontal="center" readingOrder="0"/>
    </xf>
    <xf borderId="2" fillId="5" fontId="5" numFmtId="49" xfId="0" applyAlignment="1" applyBorder="1" applyFont="1" applyNumberFormat="1">
      <alignment horizontal="center" readingOrder="0" vertical="bottom"/>
    </xf>
    <xf borderId="1" fillId="5" fontId="5" numFmtId="49" xfId="0" applyAlignment="1" applyBorder="1" applyFont="1" applyNumberFormat="1">
      <alignment horizontal="center" readingOrder="0" vertical="bottom"/>
    </xf>
    <xf borderId="2" fillId="5" fontId="4" numFmtId="164" xfId="0" applyAlignment="1" applyBorder="1" applyFont="1" applyNumberFormat="1">
      <alignment horizontal="center" readingOrder="0"/>
    </xf>
    <xf borderId="3" fillId="5" fontId="4" numFmtId="0" xfId="0" applyAlignment="1" applyBorder="1" applyFont="1">
      <alignment horizontal="center" readingOrder="0"/>
    </xf>
    <xf borderId="1" fillId="5" fontId="4" numFmtId="49" xfId="0" applyAlignment="1" applyBorder="1" applyFont="1" applyNumberFormat="1">
      <alignment horizontal="center" readingOrder="0" vertical="bottom"/>
    </xf>
    <xf borderId="2" fillId="5" fontId="4" numFmtId="0" xfId="0" applyAlignment="1" applyBorder="1" applyFont="1">
      <alignment horizontal="center"/>
    </xf>
    <xf borderId="2" fillId="3" fontId="5" numFmtId="0" xfId="0" applyAlignment="1" applyBorder="1" applyFont="1">
      <alignment horizontal="center"/>
    </xf>
    <xf borderId="2" fillId="5" fontId="3" numFmtId="0" xfId="0" applyAlignment="1" applyBorder="1" applyFont="1">
      <alignment horizontal="center" readingOrder="0"/>
    </xf>
    <xf borderId="2" fillId="6" fontId="5" numFmtId="0" xfId="0" applyAlignment="1" applyBorder="1" applyFont="1">
      <alignment horizontal="center" vertical="bottom"/>
    </xf>
    <xf borderId="2" fillId="7" fontId="10" numFmtId="0" xfId="0" applyAlignment="1" applyBorder="1" applyFont="1">
      <alignment horizontal="center" vertical="bottom"/>
    </xf>
    <xf borderId="0" fillId="5" fontId="8" numFmtId="0" xfId="0" applyAlignment="1" applyFont="1">
      <alignment horizontal="center" readingOrder="0" vertical="bottom"/>
    </xf>
    <xf borderId="2" fillId="9" fontId="11" numFmtId="0" xfId="0" applyAlignment="1" applyBorder="1" applyFill="1" applyFont="1">
      <alignment horizontal="center" readingOrder="0" vertical="bottom"/>
    </xf>
    <xf borderId="2" fillId="9" fontId="3" numFmtId="0" xfId="0" applyAlignment="1" applyBorder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2" fillId="9" fontId="12" numFmtId="0" xfId="0" applyAlignment="1" applyBorder="1" applyFont="1">
      <alignment horizontal="center" readingOrder="0"/>
    </xf>
    <xf borderId="2" fillId="9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/>
    </xf>
    <xf borderId="0" fillId="0" fontId="4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2" fillId="5" fontId="11" numFmtId="0" xfId="0" applyAlignment="1" applyBorder="1" applyFont="1">
      <alignment horizontal="center" readingOrder="0" vertical="bottom"/>
    </xf>
    <xf borderId="2" fillId="2" fontId="2" numFmtId="49" xfId="0" applyAlignment="1" applyBorder="1" applyFont="1" applyNumberFormat="1">
      <alignment horizontal="center" readingOrder="0"/>
    </xf>
    <xf borderId="2" fillId="5" fontId="12" numFmtId="0" xfId="0" applyAlignment="1" applyBorder="1" applyFont="1">
      <alignment horizontal="center" readingOrder="0"/>
    </xf>
    <xf borderId="2" fillId="5" fontId="9" numFmtId="49" xfId="0" applyAlignment="1" applyBorder="1" applyFont="1" applyNumberFormat="1">
      <alignment horizontal="center" readingOrder="0" vertical="center"/>
    </xf>
    <xf borderId="0" fillId="5" fontId="11" numFmtId="0" xfId="0" applyAlignment="1" applyFont="1">
      <alignment horizontal="center" readingOrder="0" vertical="bottom"/>
    </xf>
    <xf borderId="0" fillId="5" fontId="7" numFmtId="0" xfId="0" applyAlignment="1" applyFont="1">
      <alignment horizontal="center" readingOrder="0" vertical="bottom"/>
    </xf>
    <xf borderId="0" fillId="0" fontId="4" numFmtId="0" xfId="0" applyFont="1"/>
    <xf borderId="0" fillId="0" fontId="13" numFmtId="0" xfId="0" applyAlignment="1" applyFont="1">
      <alignment readingOrder="0"/>
    </xf>
    <xf borderId="2" fillId="6" fontId="5" numFmtId="0" xfId="0" applyAlignment="1" applyBorder="1" applyFont="1">
      <alignment horizontal="center" readingOrder="0"/>
    </xf>
    <xf borderId="2" fillId="3" fontId="10" numFmtId="0" xfId="0" applyAlignment="1" applyBorder="1" applyFont="1">
      <alignment horizontal="center" readingOrder="0" vertical="bottom"/>
    </xf>
    <xf borderId="2" fillId="7" fontId="11" numFmtId="0" xfId="0" applyAlignment="1" applyBorder="1" applyFont="1">
      <alignment horizontal="center" readingOrder="0" vertical="bottom"/>
    </xf>
    <xf borderId="0" fillId="9" fontId="11" numFmtId="0" xfId="0" applyAlignment="1" applyFont="1">
      <alignment horizontal="center" readingOrder="0" vertical="bottom"/>
    </xf>
    <xf borderId="0" fillId="0" fontId="14" numFmtId="0" xfId="0" applyAlignment="1" applyFont="1">
      <alignment horizontal="center" readingOrder="0"/>
    </xf>
    <xf borderId="0" fillId="3" fontId="10" numFmtId="0" xfId="0" applyAlignment="1" applyFont="1">
      <alignment horizontal="center" readingOrder="0" vertical="bottom"/>
    </xf>
    <xf borderId="2" fillId="6" fontId="9" numFmtId="0" xfId="0" applyAlignment="1" applyBorder="1" applyFont="1">
      <alignment horizontal="center" readingOrder="0"/>
    </xf>
    <xf borderId="0" fillId="6" fontId="14" numFmtId="0" xfId="0" applyAlignment="1" applyFont="1">
      <alignment horizontal="center" readingOrder="0"/>
    </xf>
    <xf borderId="0" fillId="0" fontId="13" numFmtId="0" xfId="0" applyFont="1"/>
    <xf borderId="0" fillId="2" fontId="1" numFmtId="49" xfId="0" applyAlignment="1" applyFont="1" applyNumberFormat="1">
      <alignment horizontal="center" readingOrder="0"/>
    </xf>
    <xf borderId="2" fillId="3" fontId="15" numFmtId="0" xfId="0" applyAlignment="1" applyBorder="1" applyFont="1">
      <alignment horizontal="center" vertical="bottom"/>
    </xf>
    <xf borderId="2" fillId="5" fontId="12" numFmtId="49" xfId="0" applyAlignment="1" applyBorder="1" applyFont="1" applyNumberFormat="1">
      <alignment horizontal="center" vertical="center"/>
    </xf>
    <xf borderId="0" fillId="6" fontId="4" numFmtId="0" xfId="0" applyAlignment="1" applyFont="1">
      <alignment horizontal="center"/>
    </xf>
    <xf borderId="2" fillId="6" fontId="15" numFmtId="0" xfId="0" applyAlignment="1" applyBorder="1" applyFont="1">
      <alignment horizontal="center" vertical="bottom"/>
    </xf>
    <xf borderId="2" fillId="9" fontId="15" numFmtId="49" xfId="0" applyAlignment="1" applyBorder="1" applyFont="1" applyNumberFormat="1">
      <alignment horizontal="center" vertical="bottom"/>
    </xf>
    <xf borderId="2" fillId="7" fontId="7" numFmtId="0" xfId="0" applyAlignment="1" applyBorder="1" applyFont="1">
      <alignment horizontal="center" vertical="bottom"/>
    </xf>
    <xf borderId="2" fillId="7" fontId="2" numFmtId="0" xfId="0" applyAlignment="1" applyBorder="1" applyFont="1">
      <alignment horizontal="center" readingOrder="0"/>
    </xf>
    <xf borderId="2" fillId="3" fontId="15" numFmtId="49" xfId="0" applyAlignment="1" applyBorder="1" applyFont="1" applyNumberFormat="1">
      <alignment horizontal="center" vertical="bottom"/>
    </xf>
    <xf borderId="2" fillId="9" fontId="15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vertical="bottom"/>
    </xf>
    <xf borderId="2" fillId="7" fontId="15" numFmtId="49" xfId="0" applyAlignment="1" applyBorder="1" applyFont="1" applyNumberFormat="1">
      <alignment horizontal="center" vertical="bottom"/>
    </xf>
    <xf borderId="2" fillId="6" fontId="15" numFmtId="49" xfId="0" applyAlignment="1" applyBorder="1" applyFont="1" applyNumberFormat="1">
      <alignment horizontal="center" vertical="bottom"/>
    </xf>
    <xf borderId="2" fillId="6" fontId="4" numFmtId="0" xfId="0" applyAlignment="1" applyBorder="1" applyFont="1">
      <alignment horizontal="center" vertical="bottom"/>
    </xf>
    <xf borderId="0" fillId="5" fontId="13" numFmtId="0" xfId="0" applyAlignment="1" applyFont="1">
      <alignment readingOrder="0"/>
    </xf>
    <xf borderId="2" fillId="5" fontId="4" numFmtId="0" xfId="0" applyAlignment="1" applyBorder="1" applyFont="1">
      <alignment horizontal="center" vertical="bottom"/>
    </xf>
    <xf borderId="2" fillId="6" fontId="3" numFmtId="0" xfId="0" applyAlignment="1" applyBorder="1" applyFont="1">
      <alignment horizontal="center" readingOrder="0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0DBDB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7" max="7" width="27.25"/>
    <col customWidth="1" min="8" max="8" width="12.38"/>
    <col customWidth="1" min="10" max="40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</row>
    <row r="2">
      <c r="A2" s="8" t="s">
        <v>42</v>
      </c>
      <c r="B2" s="9" t="s">
        <v>55</v>
      </c>
      <c r="C2" s="10" t="s">
        <v>56</v>
      </c>
      <c r="D2" s="11" t="s">
        <v>45</v>
      </c>
      <c r="E2" s="12">
        <v>45778.0</v>
      </c>
      <c r="F2" s="13" t="s">
        <v>57</v>
      </c>
      <c r="G2" s="14" t="s">
        <v>58</v>
      </c>
      <c r="H2" s="15" t="s">
        <v>59</v>
      </c>
      <c r="I2" s="16" t="s">
        <v>51</v>
      </c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3">
        <v>1.0</v>
      </c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>
      <c r="A3" s="20" t="s">
        <v>60</v>
      </c>
      <c r="B3" s="9" t="s">
        <v>55</v>
      </c>
      <c r="C3" s="10" t="s">
        <v>56</v>
      </c>
      <c r="D3" s="11" t="s">
        <v>70</v>
      </c>
      <c r="E3" s="12">
        <v>45797.0</v>
      </c>
      <c r="F3" s="13" t="s">
        <v>57</v>
      </c>
      <c r="G3" s="14" t="s">
        <v>58</v>
      </c>
      <c r="H3" s="15" t="s">
        <v>59</v>
      </c>
      <c r="I3" s="16" t="s">
        <v>62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3"/>
      <c r="AL3" s="17"/>
      <c r="AM3" s="13">
        <v>1.0</v>
      </c>
      <c r="AN3" s="17"/>
      <c r="AO3" s="17"/>
    </row>
    <row r="4">
      <c r="A4" s="22" t="s">
        <v>68</v>
      </c>
      <c r="B4" s="9" t="s">
        <v>69</v>
      </c>
      <c r="C4" s="10" t="s">
        <v>49</v>
      </c>
      <c r="D4" s="11" t="s">
        <v>45</v>
      </c>
      <c r="E4" s="12">
        <v>45789.0</v>
      </c>
      <c r="F4" s="13" t="s">
        <v>71</v>
      </c>
      <c r="G4" s="14" t="s">
        <v>72</v>
      </c>
      <c r="H4" s="13" t="s">
        <v>73</v>
      </c>
      <c r="I4" s="16" t="s">
        <v>51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3">
        <v>1.0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>
      <c r="A5" s="24"/>
      <c r="B5" s="9" t="s">
        <v>82</v>
      </c>
      <c r="C5" s="10" t="s">
        <v>83</v>
      </c>
      <c r="D5" s="11" t="s">
        <v>45</v>
      </c>
      <c r="E5" s="12">
        <v>45800.0</v>
      </c>
      <c r="F5" s="13" t="s">
        <v>84</v>
      </c>
      <c r="G5" s="14" t="s">
        <v>85</v>
      </c>
      <c r="H5" s="13" t="s">
        <v>86</v>
      </c>
      <c r="I5" s="16" t="s">
        <v>51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3">
        <v>1.0</v>
      </c>
      <c r="AK5" s="17"/>
      <c r="AL5" s="17"/>
      <c r="AM5" s="17"/>
      <c r="AN5" s="17"/>
      <c r="AO5" s="17"/>
    </row>
    <row r="6">
      <c r="A6" s="24"/>
      <c r="B6" s="9" t="s">
        <v>88</v>
      </c>
      <c r="C6" s="10" t="s">
        <v>83</v>
      </c>
      <c r="D6" s="11" t="s">
        <v>45</v>
      </c>
      <c r="E6" s="12">
        <v>45778.0</v>
      </c>
      <c r="F6" s="13" t="s">
        <v>89</v>
      </c>
      <c r="G6" s="13" t="s">
        <v>90</v>
      </c>
      <c r="H6" s="13" t="s">
        <v>91</v>
      </c>
      <c r="I6" s="16" t="s">
        <v>51</v>
      </c>
      <c r="J6" s="13">
        <v>1.0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</sheetData>
  <dataValidations>
    <dataValidation type="list" allowBlank="1" showErrorMessage="1" sqref="I2:I6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6">
      <formula1>"UNIMED SÃO CARLOS,AMIL,PASA,UNIMED GUARULHOS"</formula1>
    </dataValidation>
    <dataValidation type="list" allowBlank="1" showErrorMessage="1" sqref="D2:D6">
      <formula1>"NOVO PACIENTE,READMISSÃO,TROCA,INTENSIFICAÇÃO,DESMAME,COBERTURA,REVEZAMENTO"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19.88"/>
    <col customWidth="1" min="7" max="7" width="27.25"/>
    <col customWidth="1" min="8" max="8" width="12.38"/>
    <col customWidth="1" min="10" max="40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</row>
    <row r="2">
      <c r="A2" s="8" t="s">
        <v>42</v>
      </c>
      <c r="B2" s="9" t="s">
        <v>43</v>
      </c>
      <c r="C2" s="10" t="s">
        <v>44</v>
      </c>
      <c r="D2" s="11" t="s">
        <v>45</v>
      </c>
      <c r="E2" s="12">
        <v>45812.0</v>
      </c>
      <c r="F2" s="13" t="s">
        <v>47</v>
      </c>
      <c r="G2" s="14" t="s">
        <v>48</v>
      </c>
      <c r="H2" s="15" t="s">
        <v>50</v>
      </c>
      <c r="I2" s="16" t="s">
        <v>51</v>
      </c>
      <c r="J2" s="17"/>
      <c r="K2" s="17"/>
      <c r="L2" s="17"/>
      <c r="M2" s="17"/>
      <c r="N2" s="17"/>
      <c r="O2" s="17"/>
      <c r="P2" s="17"/>
      <c r="Q2" s="17"/>
      <c r="R2" s="17"/>
      <c r="S2" s="13">
        <v>1.0</v>
      </c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3"/>
      <c r="AL2" s="17"/>
      <c r="AM2" s="13"/>
      <c r="AN2" s="17"/>
      <c r="AO2" s="19">
        <v>0.0</v>
      </c>
    </row>
    <row r="3">
      <c r="A3" s="20" t="s">
        <v>60</v>
      </c>
      <c r="B3" s="9" t="s">
        <v>55</v>
      </c>
      <c r="C3" s="10" t="s">
        <v>56</v>
      </c>
      <c r="D3" s="11"/>
      <c r="E3" s="12"/>
      <c r="F3" s="13" t="s">
        <v>57</v>
      </c>
      <c r="G3" s="14" t="s">
        <v>58</v>
      </c>
      <c r="H3" s="15" t="s">
        <v>59</v>
      </c>
      <c r="I3" s="16" t="s">
        <v>62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3">
        <v>1.0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3"/>
      <c r="AL3" s="17"/>
      <c r="AM3" s="13">
        <v>1.0</v>
      </c>
      <c r="AN3" s="17"/>
      <c r="AO3" s="19">
        <v>0.0</v>
      </c>
    </row>
    <row r="4">
      <c r="A4" s="22" t="s">
        <v>68</v>
      </c>
      <c r="B4" s="9" t="s">
        <v>69</v>
      </c>
      <c r="C4" s="10" t="s">
        <v>49</v>
      </c>
      <c r="D4" s="11"/>
      <c r="E4" s="12"/>
      <c r="F4" s="13" t="s">
        <v>71</v>
      </c>
      <c r="G4" s="14" t="s">
        <v>72</v>
      </c>
      <c r="H4" s="13" t="s">
        <v>73</v>
      </c>
      <c r="I4" s="16" t="s">
        <v>51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3"/>
      <c r="V4" s="17"/>
      <c r="W4" s="17"/>
      <c r="X4" s="17"/>
      <c r="Y4" s="17"/>
      <c r="Z4" s="17"/>
      <c r="AA4" s="17"/>
      <c r="AB4" s="13">
        <v>1.0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9">
        <v>0.0</v>
      </c>
    </row>
    <row r="5">
      <c r="A5" s="24"/>
      <c r="B5" s="9" t="s">
        <v>77</v>
      </c>
      <c r="C5" s="10" t="s">
        <v>78</v>
      </c>
      <c r="D5" s="11" t="s">
        <v>45</v>
      </c>
      <c r="E5" s="12">
        <v>45833.0</v>
      </c>
      <c r="F5" s="13" t="s">
        <v>79</v>
      </c>
      <c r="G5" s="14" t="s">
        <v>80</v>
      </c>
      <c r="H5" s="13" t="s">
        <v>81</v>
      </c>
      <c r="I5" s="16" t="s">
        <v>51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3">
        <v>1.0</v>
      </c>
      <c r="AJ5" s="13"/>
      <c r="AK5" s="17"/>
      <c r="AL5" s="17"/>
      <c r="AM5" s="17"/>
      <c r="AN5" s="17"/>
      <c r="AO5" s="19"/>
    </row>
    <row r="6">
      <c r="A6" s="24"/>
      <c r="B6" s="9" t="s">
        <v>82</v>
      </c>
      <c r="C6" s="10" t="s">
        <v>83</v>
      </c>
      <c r="D6" s="11"/>
      <c r="E6" s="12"/>
      <c r="F6" s="13" t="s">
        <v>84</v>
      </c>
      <c r="G6" s="14" t="s">
        <v>85</v>
      </c>
      <c r="H6" s="13" t="s">
        <v>86</v>
      </c>
      <c r="I6" s="16" t="s">
        <v>51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3">
        <v>1.0</v>
      </c>
      <c r="AA6" s="17"/>
      <c r="AB6" s="17"/>
      <c r="AC6" s="17"/>
      <c r="AD6" s="17"/>
      <c r="AE6" s="17"/>
      <c r="AF6" s="17"/>
      <c r="AG6" s="17"/>
      <c r="AH6" s="17"/>
      <c r="AI6" s="17"/>
      <c r="AJ6" s="13"/>
      <c r="AK6" s="17"/>
      <c r="AL6" s="17"/>
      <c r="AM6" s="17"/>
      <c r="AN6" s="17"/>
      <c r="AO6" s="19">
        <v>0.0</v>
      </c>
    </row>
    <row r="7">
      <c r="A7" s="24"/>
      <c r="B7" s="9" t="s">
        <v>88</v>
      </c>
      <c r="C7" s="10" t="s">
        <v>83</v>
      </c>
      <c r="D7" s="11"/>
      <c r="E7" s="12"/>
      <c r="F7" s="13" t="s">
        <v>89</v>
      </c>
      <c r="G7" s="13" t="s">
        <v>90</v>
      </c>
      <c r="H7" s="13" t="s">
        <v>91</v>
      </c>
      <c r="I7" s="16" t="s">
        <v>51</v>
      </c>
      <c r="J7" s="13"/>
      <c r="K7" s="17"/>
      <c r="L7" s="17"/>
      <c r="M7" s="17"/>
      <c r="N7" s="17"/>
      <c r="O7" s="13">
        <v>1.0</v>
      </c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9">
        <v>0.0</v>
      </c>
    </row>
  </sheetData>
  <dataValidations>
    <dataValidation type="list" allowBlank="1" showErrorMessage="1" sqref="C2:C7">
      <formula1>"UNIMED SÃO CARLOS,AMIL,PASA,UNIMED GUARULHOS,UNIMED NACIONAL,VIVEST"</formula1>
    </dataValidation>
    <dataValidation type="list" allowBlank="1" showErrorMessage="1" sqref="I2:I7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7">
      <formula1>"NOVO PACIENTE,READMISSÃO,TROCA,INTENSIFICAÇÃO,DESMAME,COBERTURA,REVEZAMENTO"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40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6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6" t="s">
        <v>32</v>
      </c>
      <c r="AG1" s="6" t="s">
        <v>33</v>
      </c>
      <c r="AH1" s="6" t="s">
        <v>34</v>
      </c>
      <c r="AI1" s="6" t="s">
        <v>35</v>
      </c>
      <c r="AJ1" s="6" t="s">
        <v>36</v>
      </c>
      <c r="AK1" s="6" t="s">
        <v>37</v>
      </c>
      <c r="AL1" s="6" t="s">
        <v>38</v>
      </c>
      <c r="AM1" s="6" t="s">
        <v>39</v>
      </c>
      <c r="AN1" s="6" t="s">
        <v>40</v>
      </c>
      <c r="AO1" s="6" t="s">
        <v>41</v>
      </c>
    </row>
    <row r="2">
      <c r="A2" s="8" t="s">
        <v>42</v>
      </c>
      <c r="B2" s="9" t="s">
        <v>46</v>
      </c>
      <c r="C2" s="10" t="s">
        <v>49</v>
      </c>
      <c r="D2" s="11" t="s">
        <v>45</v>
      </c>
      <c r="E2" s="12">
        <v>45841.0</v>
      </c>
      <c r="F2" s="13" t="s">
        <v>52</v>
      </c>
      <c r="G2" s="14" t="s">
        <v>53</v>
      </c>
      <c r="H2" s="13" t="s">
        <v>54</v>
      </c>
      <c r="I2" s="16" t="s">
        <v>51</v>
      </c>
      <c r="J2" s="17"/>
      <c r="K2" s="17"/>
      <c r="L2" s="17"/>
      <c r="M2" s="17"/>
      <c r="N2" s="17"/>
      <c r="O2" s="17"/>
      <c r="P2" s="17"/>
      <c r="Q2" s="17"/>
      <c r="R2" s="17"/>
      <c r="S2" s="13"/>
      <c r="T2" s="17"/>
      <c r="U2" s="17"/>
      <c r="V2" s="17"/>
      <c r="W2" s="17"/>
      <c r="X2" s="13">
        <v>1.0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3"/>
      <c r="AL2" s="17"/>
      <c r="AM2" s="13"/>
      <c r="AN2" s="17"/>
      <c r="AO2" s="19">
        <v>0.0</v>
      </c>
    </row>
    <row r="3">
      <c r="A3" s="20" t="s">
        <v>60</v>
      </c>
      <c r="B3" s="9" t="s">
        <v>63</v>
      </c>
      <c r="C3" s="10" t="s">
        <v>49</v>
      </c>
      <c r="D3" s="11" t="s">
        <v>45</v>
      </c>
      <c r="E3" s="12">
        <v>45853.0</v>
      </c>
      <c r="F3" s="13" t="s">
        <v>64</v>
      </c>
      <c r="G3" s="14" t="s">
        <v>65</v>
      </c>
      <c r="H3" s="13" t="s">
        <v>66</v>
      </c>
      <c r="I3" s="16" t="s">
        <v>67</v>
      </c>
      <c r="J3" s="17"/>
      <c r="K3" s="17"/>
      <c r="L3" s="17"/>
      <c r="M3" s="17"/>
      <c r="N3" s="17"/>
      <c r="O3" s="17"/>
      <c r="P3" s="17"/>
      <c r="Q3" s="17"/>
      <c r="R3" s="17"/>
      <c r="S3" s="13"/>
      <c r="T3" s="17"/>
      <c r="U3" s="17"/>
      <c r="V3" s="17"/>
      <c r="W3" s="17"/>
      <c r="X3" s="17"/>
      <c r="Y3" s="17"/>
      <c r="Z3" s="13">
        <v>1.0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3"/>
      <c r="AL3" s="17"/>
      <c r="AM3" s="13"/>
      <c r="AN3" s="17"/>
      <c r="AO3" s="19">
        <v>0.0</v>
      </c>
    </row>
    <row r="4">
      <c r="A4" s="22" t="s">
        <v>68</v>
      </c>
      <c r="B4" s="9" t="s">
        <v>74</v>
      </c>
      <c r="C4" s="10" t="s">
        <v>49</v>
      </c>
      <c r="D4" s="11" t="s">
        <v>45</v>
      </c>
      <c r="E4" s="12">
        <v>45841.0</v>
      </c>
      <c r="F4" s="13" t="s">
        <v>64</v>
      </c>
      <c r="G4" s="14" t="s">
        <v>65</v>
      </c>
      <c r="H4" s="13" t="s">
        <v>66</v>
      </c>
      <c r="I4" s="16" t="s">
        <v>75</v>
      </c>
      <c r="J4" s="17"/>
      <c r="K4" s="17"/>
      <c r="L4" s="17"/>
      <c r="M4" s="17"/>
      <c r="N4" s="17"/>
      <c r="O4" s="17"/>
      <c r="P4" s="17"/>
      <c r="Q4" s="17"/>
      <c r="R4" s="17"/>
      <c r="S4" s="13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3">
        <v>1.0</v>
      </c>
      <c r="AI4" s="17"/>
      <c r="AJ4" s="17"/>
      <c r="AK4" s="13"/>
      <c r="AL4" s="17"/>
      <c r="AM4" s="13"/>
      <c r="AN4" s="17"/>
      <c r="AO4" s="19">
        <v>0.0</v>
      </c>
    </row>
    <row r="5">
      <c r="A5" s="24" t="s">
        <v>68</v>
      </c>
      <c r="B5" s="9" t="s">
        <v>43</v>
      </c>
      <c r="C5" s="10" t="s">
        <v>44</v>
      </c>
      <c r="D5" s="11"/>
      <c r="E5" s="12"/>
      <c r="F5" s="13" t="s">
        <v>47</v>
      </c>
      <c r="G5" s="14" t="s">
        <v>48</v>
      </c>
      <c r="H5" s="15" t="s">
        <v>50</v>
      </c>
      <c r="I5" s="16" t="s">
        <v>51</v>
      </c>
      <c r="J5" s="17"/>
      <c r="K5" s="17"/>
      <c r="L5" s="17"/>
      <c r="M5" s="17"/>
      <c r="N5" s="17"/>
      <c r="O5" s="17"/>
      <c r="P5" s="17"/>
      <c r="Q5" s="17"/>
      <c r="R5" s="17"/>
      <c r="S5" s="13"/>
      <c r="T5" s="17"/>
      <c r="U5" s="13">
        <v>1.0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3"/>
      <c r="AL5" s="17"/>
      <c r="AM5" s="13"/>
      <c r="AN5" s="17"/>
      <c r="AO5" s="19">
        <v>0.0</v>
      </c>
    </row>
    <row r="6">
      <c r="A6" s="24"/>
      <c r="B6" s="9" t="s">
        <v>87</v>
      </c>
      <c r="C6" s="10" t="s">
        <v>49</v>
      </c>
      <c r="D6" s="11" t="s">
        <v>45</v>
      </c>
      <c r="E6" s="12">
        <v>45859.0</v>
      </c>
      <c r="F6" s="13" t="s">
        <v>64</v>
      </c>
      <c r="G6" s="14" t="s">
        <v>65</v>
      </c>
      <c r="H6" s="15" t="s">
        <v>66</v>
      </c>
      <c r="I6" s="16" t="s">
        <v>75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3"/>
      <c r="Z6" s="17"/>
      <c r="AA6" s="17"/>
      <c r="AB6" s="17"/>
      <c r="AC6" s="17"/>
      <c r="AD6" s="17"/>
      <c r="AE6" s="13">
        <v>1.0</v>
      </c>
      <c r="AF6" s="17"/>
      <c r="AG6" s="17"/>
      <c r="AH6" s="17"/>
      <c r="AI6" s="17"/>
      <c r="AJ6" s="17"/>
      <c r="AK6" s="13"/>
      <c r="AL6" s="17"/>
      <c r="AM6" s="13"/>
      <c r="AN6" s="17"/>
      <c r="AO6" s="19"/>
    </row>
    <row r="7">
      <c r="A7" s="24"/>
      <c r="B7" s="9" t="s">
        <v>92</v>
      </c>
      <c r="C7" s="10" t="s">
        <v>49</v>
      </c>
      <c r="D7" s="11" t="s">
        <v>45</v>
      </c>
      <c r="E7" s="12">
        <v>45842.0</v>
      </c>
      <c r="F7" s="13" t="s">
        <v>64</v>
      </c>
      <c r="G7" s="14" t="s">
        <v>65</v>
      </c>
      <c r="H7" s="15" t="s">
        <v>66</v>
      </c>
      <c r="I7" s="16" t="s">
        <v>75</v>
      </c>
      <c r="J7" s="17"/>
      <c r="K7" s="17"/>
      <c r="L7" s="17"/>
      <c r="M7" s="17"/>
      <c r="N7" s="17"/>
      <c r="O7" s="17"/>
      <c r="P7" s="17"/>
      <c r="Q7" s="17"/>
      <c r="R7" s="17"/>
      <c r="S7" s="13">
        <v>1.0</v>
      </c>
      <c r="T7" s="17"/>
      <c r="U7" s="17"/>
      <c r="V7" s="17"/>
      <c r="W7" s="17"/>
      <c r="X7" s="17"/>
      <c r="Y7" s="13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3"/>
      <c r="AL7" s="17"/>
      <c r="AM7" s="13"/>
      <c r="AN7" s="17"/>
      <c r="AO7" s="19">
        <v>0.0</v>
      </c>
    </row>
    <row r="8">
      <c r="A8" s="28"/>
      <c r="B8" s="29" t="s">
        <v>55</v>
      </c>
      <c r="C8" s="10" t="s">
        <v>56</v>
      </c>
      <c r="D8" s="11"/>
      <c r="E8" s="12"/>
      <c r="F8" s="13" t="s">
        <v>57</v>
      </c>
      <c r="G8" s="14" t="s">
        <v>58</v>
      </c>
      <c r="H8" s="15" t="s">
        <v>59</v>
      </c>
      <c r="I8" s="16" t="s">
        <v>62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30"/>
      <c r="W8" s="31">
        <v>1.0</v>
      </c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>
        <v>1.0</v>
      </c>
      <c r="AM8" s="31"/>
      <c r="AN8" s="31"/>
      <c r="AO8" s="19">
        <v>0.0</v>
      </c>
    </row>
    <row r="9">
      <c r="A9" s="28" t="s">
        <v>96</v>
      </c>
      <c r="B9" s="23" t="s">
        <v>97</v>
      </c>
      <c r="C9" s="32" t="s">
        <v>49</v>
      </c>
      <c r="D9" s="33" t="s">
        <v>45</v>
      </c>
      <c r="E9" s="34">
        <v>45863.0</v>
      </c>
      <c r="F9" s="18" t="s">
        <v>98</v>
      </c>
      <c r="G9" s="35" t="s">
        <v>99</v>
      </c>
      <c r="H9" s="18" t="s">
        <v>100</v>
      </c>
      <c r="I9" s="36" t="s">
        <v>51</v>
      </c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18"/>
      <c r="V9" s="37"/>
      <c r="W9" s="37"/>
      <c r="X9" s="37"/>
      <c r="Y9" s="37"/>
      <c r="Z9" s="37"/>
      <c r="AA9" s="37"/>
      <c r="AB9" s="18"/>
      <c r="AC9" s="37"/>
      <c r="AD9" s="37"/>
      <c r="AE9" s="18"/>
      <c r="AF9" s="37"/>
      <c r="AG9" s="37"/>
      <c r="AH9" s="37"/>
      <c r="AI9" s="37"/>
      <c r="AJ9" s="37"/>
      <c r="AK9" s="37"/>
      <c r="AL9" s="37"/>
      <c r="AM9" s="37"/>
      <c r="AN9" s="37"/>
      <c r="AO9" s="39"/>
    </row>
    <row r="10">
      <c r="A10" s="24"/>
      <c r="B10" s="9" t="s">
        <v>69</v>
      </c>
      <c r="C10" s="10" t="s">
        <v>49</v>
      </c>
      <c r="D10" s="11"/>
      <c r="E10" s="12"/>
      <c r="F10" s="13" t="s">
        <v>71</v>
      </c>
      <c r="G10" s="14" t="s">
        <v>72</v>
      </c>
      <c r="H10" s="13" t="s">
        <v>73</v>
      </c>
      <c r="I10" s="16" t="s">
        <v>51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3"/>
      <c r="V10" s="17"/>
      <c r="W10" s="17"/>
      <c r="X10" s="17"/>
      <c r="Y10" s="17"/>
      <c r="Z10" s="17"/>
      <c r="AA10" s="17"/>
      <c r="AB10" s="13"/>
      <c r="AC10" s="17"/>
      <c r="AD10" s="17"/>
      <c r="AE10" s="13">
        <v>1.0</v>
      </c>
      <c r="AF10" s="17"/>
      <c r="AG10" s="17"/>
      <c r="AH10" s="17"/>
      <c r="AI10" s="17"/>
      <c r="AJ10" s="17"/>
      <c r="AK10" s="17"/>
      <c r="AL10" s="17"/>
      <c r="AM10" s="17"/>
      <c r="AN10" s="17"/>
      <c r="AO10" s="19">
        <v>0.0</v>
      </c>
    </row>
    <row r="11">
      <c r="A11" s="28" t="s">
        <v>104</v>
      </c>
      <c r="B11" s="29" t="s">
        <v>105</v>
      </c>
      <c r="C11" s="10" t="s">
        <v>49</v>
      </c>
      <c r="D11" s="11" t="s">
        <v>45</v>
      </c>
      <c r="E11" s="12">
        <v>45842.0</v>
      </c>
      <c r="F11" s="13" t="s">
        <v>106</v>
      </c>
      <c r="G11" s="14" t="s">
        <v>107</v>
      </c>
      <c r="H11" s="13" t="s">
        <v>108</v>
      </c>
      <c r="I11" s="16" t="s">
        <v>62</v>
      </c>
      <c r="J11" s="17"/>
      <c r="K11" s="17"/>
      <c r="L11" s="17"/>
      <c r="M11" s="17"/>
      <c r="N11" s="17"/>
      <c r="O11" s="17"/>
      <c r="P11" s="13">
        <v>1.0</v>
      </c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3">
        <v>1.0</v>
      </c>
      <c r="AE11" s="17"/>
      <c r="AF11" s="17"/>
      <c r="AG11" s="17"/>
      <c r="AH11" s="17"/>
      <c r="AI11" s="13"/>
      <c r="AJ11" s="13"/>
      <c r="AK11" s="30"/>
      <c r="AL11" s="31"/>
      <c r="AM11" s="31"/>
      <c r="AN11" s="31"/>
      <c r="AO11" s="19">
        <v>0.0</v>
      </c>
    </row>
    <row r="12">
      <c r="A12" s="24"/>
      <c r="B12" s="30" t="s">
        <v>77</v>
      </c>
      <c r="C12" s="10" t="s">
        <v>78</v>
      </c>
      <c r="D12" s="11"/>
      <c r="E12" s="12"/>
      <c r="F12" s="13" t="s">
        <v>79</v>
      </c>
      <c r="G12" s="14" t="s">
        <v>80</v>
      </c>
      <c r="H12" s="13" t="s">
        <v>81</v>
      </c>
      <c r="I12" s="16" t="s">
        <v>51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19">
        <v>0.0</v>
      </c>
    </row>
    <row r="13">
      <c r="A13" s="28" t="s">
        <v>104</v>
      </c>
      <c r="B13" s="9" t="s">
        <v>110</v>
      </c>
      <c r="C13" s="10" t="s">
        <v>49</v>
      </c>
      <c r="D13" s="11" t="s">
        <v>45</v>
      </c>
      <c r="E13" s="12">
        <v>45842.0</v>
      </c>
      <c r="F13" s="13" t="s">
        <v>64</v>
      </c>
      <c r="G13" s="14" t="s">
        <v>65</v>
      </c>
      <c r="H13" s="13" t="s">
        <v>66</v>
      </c>
      <c r="I13" s="16" t="s">
        <v>62</v>
      </c>
      <c r="J13" s="17"/>
      <c r="K13" s="17"/>
      <c r="L13" s="17"/>
      <c r="M13" s="17"/>
      <c r="N13" s="17"/>
      <c r="O13" s="17"/>
      <c r="P13" s="17"/>
      <c r="Q13" s="17"/>
      <c r="R13" s="17"/>
      <c r="S13" s="13">
        <v>1.0</v>
      </c>
      <c r="T13" s="17"/>
      <c r="U13" s="17"/>
      <c r="V13" s="17"/>
      <c r="W13" s="17"/>
      <c r="X13" s="17"/>
      <c r="Y13" s="17"/>
      <c r="Z13" s="13"/>
      <c r="AA13" s="17"/>
      <c r="AB13" s="17"/>
      <c r="AC13" s="17"/>
      <c r="AD13" s="17"/>
      <c r="AE13" s="17"/>
      <c r="AF13" s="17"/>
      <c r="AG13" s="17"/>
      <c r="AH13" s="17"/>
      <c r="AI13" s="13">
        <v>1.0</v>
      </c>
      <c r="AJ13" s="13"/>
      <c r="AK13" s="17"/>
      <c r="AL13" s="17"/>
      <c r="AM13" s="17"/>
      <c r="AN13" s="17"/>
      <c r="AO13" s="19">
        <v>0.0</v>
      </c>
    </row>
    <row r="14">
      <c r="A14" s="24"/>
      <c r="B14" s="9" t="s">
        <v>82</v>
      </c>
      <c r="C14" s="10" t="s">
        <v>83</v>
      </c>
      <c r="D14" s="11"/>
      <c r="E14" s="12"/>
      <c r="F14" s="13" t="s">
        <v>84</v>
      </c>
      <c r="G14" s="14" t="s">
        <v>85</v>
      </c>
      <c r="H14" s="13" t="s">
        <v>86</v>
      </c>
      <c r="I14" s="16" t="s">
        <v>51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3">
        <v>1.0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3"/>
      <c r="AK14" s="17"/>
      <c r="AL14" s="17"/>
      <c r="AM14" s="17"/>
      <c r="AN14" s="17"/>
      <c r="AO14" s="19">
        <v>0.0</v>
      </c>
    </row>
    <row r="15">
      <c r="A15" s="24"/>
      <c r="B15" s="30" t="s">
        <v>112</v>
      </c>
      <c r="C15" s="10" t="s">
        <v>49</v>
      </c>
      <c r="D15" s="11" t="s">
        <v>45</v>
      </c>
      <c r="E15" s="12">
        <v>45842.0</v>
      </c>
      <c r="F15" s="13" t="s">
        <v>113</v>
      </c>
      <c r="G15" s="14" t="s">
        <v>114</v>
      </c>
      <c r="H15" s="13" t="s">
        <v>115</v>
      </c>
      <c r="I15" s="16" t="s">
        <v>51</v>
      </c>
      <c r="J15" s="13"/>
      <c r="K15" s="17"/>
      <c r="L15" s="17"/>
      <c r="M15" s="17"/>
      <c r="N15" s="17"/>
      <c r="O15" s="13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19">
        <v>0.0</v>
      </c>
    </row>
    <row r="16">
      <c r="A16" s="24"/>
      <c r="B16" s="9" t="s">
        <v>116</v>
      </c>
      <c r="C16" s="10" t="s">
        <v>117</v>
      </c>
      <c r="D16" s="11" t="s">
        <v>45</v>
      </c>
      <c r="E16" s="12">
        <v>45855.0</v>
      </c>
      <c r="F16" s="13" t="s">
        <v>118</v>
      </c>
      <c r="G16" s="14" t="s">
        <v>119</v>
      </c>
      <c r="H16" s="13" t="s">
        <v>120</v>
      </c>
      <c r="I16" s="16" t="s">
        <v>75</v>
      </c>
      <c r="J16" s="13"/>
      <c r="K16" s="17"/>
      <c r="L16" s="17"/>
      <c r="M16" s="17"/>
      <c r="N16" s="17"/>
      <c r="O16" s="13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3">
        <v>1.0</v>
      </c>
      <c r="AA16" s="37"/>
      <c r="AB16" s="37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19"/>
    </row>
    <row r="17">
      <c r="A17" s="24"/>
      <c r="B17" s="30" t="s">
        <v>88</v>
      </c>
      <c r="C17" s="10" t="s">
        <v>83</v>
      </c>
      <c r="D17" s="11"/>
      <c r="E17" s="12"/>
      <c r="F17" s="13" t="s">
        <v>89</v>
      </c>
      <c r="G17" s="13" t="s">
        <v>90</v>
      </c>
      <c r="H17" s="13" t="s">
        <v>91</v>
      </c>
      <c r="I17" s="16" t="s">
        <v>51</v>
      </c>
      <c r="J17" s="13">
        <v>1.0</v>
      </c>
      <c r="K17" s="1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19">
        <v>0.0</v>
      </c>
    </row>
    <row r="18">
      <c r="A18" s="13" t="s">
        <v>104</v>
      </c>
      <c r="B18" s="9" t="s">
        <v>122</v>
      </c>
      <c r="C18" s="10" t="s">
        <v>49</v>
      </c>
      <c r="D18" s="11" t="s">
        <v>45</v>
      </c>
      <c r="E18" s="12">
        <v>45846.0</v>
      </c>
      <c r="F18" s="13" t="s">
        <v>52</v>
      </c>
      <c r="G18" s="14" t="s">
        <v>53</v>
      </c>
      <c r="H18" s="13" t="s">
        <v>54</v>
      </c>
      <c r="I18" s="16" t="s">
        <v>62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3">
        <v>1.0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3">
        <v>1.0</v>
      </c>
      <c r="AO18" s="19">
        <v>0.0</v>
      </c>
    </row>
  </sheetData>
  <dataValidations>
    <dataValidation type="list" allowBlank="1" showErrorMessage="1" sqref="C2:C18">
      <formula1>"UNIMED SÃO CARLOS,AMIL,PASA,UNIMED GUARULHOS,UNIMED NACIONAL,VIVEST"</formula1>
    </dataValidation>
    <dataValidation type="list" allowBlank="1" showErrorMessage="1" sqref="I2:I18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18">
      <formula1>"NOVO PACIENTE,READMISSÃO,TROCA,INTENSIFICAÇÃO,DESMAME,COBERTURA,REVEZAMENTO"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10.13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7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8" t="s">
        <v>42</v>
      </c>
      <c r="B2" s="18" t="s">
        <v>46</v>
      </c>
      <c r="C2" s="10" t="s">
        <v>49</v>
      </c>
      <c r="D2" s="11"/>
      <c r="E2" s="12"/>
      <c r="F2" s="13" t="s">
        <v>52</v>
      </c>
      <c r="G2" s="14" t="s">
        <v>53</v>
      </c>
      <c r="H2" s="13" t="s">
        <v>54</v>
      </c>
      <c r="I2" s="16" t="s">
        <v>51</v>
      </c>
      <c r="J2" s="21" t="s">
        <v>61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3">
        <v>1.0</v>
      </c>
      <c r="AG2" s="17"/>
      <c r="AH2" s="17"/>
      <c r="AI2" s="17"/>
      <c r="AJ2" s="17"/>
      <c r="AK2" s="17"/>
      <c r="AL2" s="17"/>
      <c r="AM2" s="17"/>
      <c r="AN2" s="17"/>
      <c r="AO2" s="17"/>
      <c r="AP2" s="19">
        <v>0.0</v>
      </c>
    </row>
    <row r="3">
      <c r="A3" s="20" t="s">
        <v>60</v>
      </c>
      <c r="B3" s="23" t="s">
        <v>63</v>
      </c>
      <c r="C3" s="10" t="s">
        <v>49</v>
      </c>
      <c r="D3" s="11"/>
      <c r="E3" s="12"/>
      <c r="F3" s="13" t="s">
        <v>64</v>
      </c>
      <c r="G3" s="14" t="s">
        <v>65</v>
      </c>
      <c r="H3" s="13" t="s">
        <v>66</v>
      </c>
      <c r="I3" s="16" t="s">
        <v>67</v>
      </c>
      <c r="J3" s="21" t="s">
        <v>76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9">
        <v>0.0</v>
      </c>
    </row>
    <row r="4">
      <c r="A4" s="22" t="s">
        <v>68</v>
      </c>
      <c r="B4" s="18" t="s">
        <v>74</v>
      </c>
      <c r="C4" s="10" t="s">
        <v>49</v>
      </c>
      <c r="D4" s="11"/>
      <c r="E4" s="12"/>
      <c r="F4" s="13" t="s">
        <v>64</v>
      </c>
      <c r="G4" s="14" t="s">
        <v>65</v>
      </c>
      <c r="H4" s="13" t="s">
        <v>66</v>
      </c>
      <c r="I4" s="16" t="s">
        <v>75</v>
      </c>
      <c r="J4" s="21" t="s">
        <v>61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3">
        <v>1.0</v>
      </c>
      <c r="AK4" s="17"/>
      <c r="AL4" s="17"/>
      <c r="AM4" s="17"/>
      <c r="AN4" s="17"/>
      <c r="AO4" s="17"/>
      <c r="AP4" s="19">
        <v>0.0</v>
      </c>
    </row>
    <row r="5">
      <c r="A5" s="25"/>
      <c r="B5" s="18" t="s">
        <v>43</v>
      </c>
      <c r="C5" s="10" t="s">
        <v>44</v>
      </c>
      <c r="D5" s="11"/>
      <c r="E5" s="12"/>
      <c r="F5" s="13" t="s">
        <v>47</v>
      </c>
      <c r="G5" s="26" t="s">
        <v>48</v>
      </c>
      <c r="H5" s="27" t="s">
        <v>50</v>
      </c>
      <c r="I5" s="16" t="s">
        <v>51</v>
      </c>
      <c r="J5" s="21" t="s">
        <v>76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9">
        <v>0.0</v>
      </c>
    </row>
    <row r="6">
      <c r="A6" s="25"/>
      <c r="B6" s="18" t="s">
        <v>43</v>
      </c>
      <c r="C6" s="10" t="s">
        <v>44</v>
      </c>
      <c r="D6" s="11" t="s">
        <v>93</v>
      </c>
      <c r="E6" s="12">
        <v>45895.0</v>
      </c>
      <c r="F6" s="13" t="s">
        <v>47</v>
      </c>
      <c r="G6" s="14" t="s">
        <v>94</v>
      </c>
      <c r="H6" s="13" t="s">
        <v>95</v>
      </c>
      <c r="I6" s="16" t="s">
        <v>51</v>
      </c>
      <c r="J6" s="21" t="s">
        <v>61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3">
        <v>1.0</v>
      </c>
      <c r="AO6" s="17"/>
      <c r="AP6" s="19">
        <v>0.0</v>
      </c>
    </row>
    <row r="7">
      <c r="A7" s="25"/>
      <c r="B7" s="23" t="s">
        <v>87</v>
      </c>
      <c r="C7" s="10" t="s">
        <v>49</v>
      </c>
      <c r="D7" s="11"/>
      <c r="E7" s="12"/>
      <c r="F7" s="13" t="s">
        <v>64</v>
      </c>
      <c r="G7" s="14" t="s">
        <v>65</v>
      </c>
      <c r="H7" s="13" t="s">
        <v>66</v>
      </c>
      <c r="I7" s="16" t="s">
        <v>75</v>
      </c>
      <c r="J7" s="21" t="s">
        <v>76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9">
        <v>0.0</v>
      </c>
    </row>
    <row r="8">
      <c r="A8" s="25"/>
      <c r="B8" s="30" t="s">
        <v>101</v>
      </c>
      <c r="C8" s="10" t="s">
        <v>102</v>
      </c>
      <c r="D8" s="11" t="s">
        <v>45</v>
      </c>
      <c r="E8" s="12">
        <v>45875.0</v>
      </c>
      <c r="F8" s="13" t="s">
        <v>103</v>
      </c>
      <c r="G8" s="14" t="s">
        <v>48</v>
      </c>
      <c r="H8" s="13" t="s">
        <v>50</v>
      </c>
      <c r="I8" s="16" t="s">
        <v>51</v>
      </c>
      <c r="J8" s="21" t="s">
        <v>61</v>
      </c>
      <c r="K8" s="17"/>
      <c r="L8" s="17"/>
      <c r="M8" s="17"/>
      <c r="N8" s="17"/>
      <c r="O8" s="17"/>
      <c r="P8" s="17"/>
      <c r="Q8" s="13">
        <v>1.0</v>
      </c>
      <c r="R8" s="17"/>
      <c r="S8" s="17"/>
      <c r="T8" s="17"/>
      <c r="U8" s="17"/>
      <c r="V8" s="17"/>
      <c r="W8" s="17"/>
      <c r="X8" s="17"/>
      <c r="Y8" s="17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19">
        <v>0.0</v>
      </c>
    </row>
    <row r="9">
      <c r="A9" s="25"/>
      <c r="B9" s="23" t="s">
        <v>92</v>
      </c>
      <c r="C9" s="10" t="s">
        <v>49</v>
      </c>
      <c r="D9" s="11"/>
      <c r="E9" s="12"/>
      <c r="F9" s="13" t="s">
        <v>64</v>
      </c>
      <c r="G9" s="14" t="s">
        <v>65</v>
      </c>
      <c r="H9" s="13" t="s">
        <v>66</v>
      </c>
      <c r="I9" s="16" t="s">
        <v>75</v>
      </c>
      <c r="J9" s="21" t="s">
        <v>76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9">
        <v>0.0</v>
      </c>
    </row>
    <row r="10">
      <c r="A10" s="42" t="s">
        <v>104</v>
      </c>
      <c r="B10" s="31" t="s">
        <v>55</v>
      </c>
      <c r="C10" s="10" t="s">
        <v>56</v>
      </c>
      <c r="D10" s="11"/>
      <c r="E10" s="12"/>
      <c r="F10" s="13" t="s">
        <v>57</v>
      </c>
      <c r="G10" s="14" t="s">
        <v>58</v>
      </c>
      <c r="H10" s="15" t="s">
        <v>59</v>
      </c>
      <c r="I10" s="16" t="s">
        <v>62</v>
      </c>
      <c r="J10" s="21" t="s">
        <v>61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3">
        <v>1.0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3">
        <v>1.0</v>
      </c>
      <c r="AJ10" s="17"/>
      <c r="AK10" s="17"/>
      <c r="AL10" s="17"/>
      <c r="AM10" s="17"/>
      <c r="AN10" s="17"/>
      <c r="AO10" s="17"/>
      <c r="AP10" s="19">
        <v>0.0</v>
      </c>
    </row>
    <row r="11">
      <c r="A11" s="25"/>
      <c r="B11" s="44" t="s">
        <v>97</v>
      </c>
      <c r="C11" s="32" t="s">
        <v>49</v>
      </c>
      <c r="D11" s="33"/>
      <c r="E11" s="34"/>
      <c r="F11" s="18" t="s">
        <v>98</v>
      </c>
      <c r="G11" s="35" t="s">
        <v>99</v>
      </c>
      <c r="H11" s="18" t="s">
        <v>100</v>
      </c>
      <c r="I11" s="36" t="s">
        <v>51</v>
      </c>
      <c r="J11" s="21" t="s">
        <v>76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19">
        <v>0.0</v>
      </c>
    </row>
    <row r="12">
      <c r="A12" s="42"/>
      <c r="B12" s="18" t="s">
        <v>69</v>
      </c>
      <c r="C12" s="10" t="s">
        <v>49</v>
      </c>
      <c r="D12" s="11"/>
      <c r="E12" s="12"/>
      <c r="F12" s="13" t="s">
        <v>71</v>
      </c>
      <c r="G12" s="14" t="s">
        <v>72</v>
      </c>
      <c r="H12" s="13" t="s">
        <v>73</v>
      </c>
      <c r="I12" s="16" t="s">
        <v>51</v>
      </c>
      <c r="J12" s="21" t="s">
        <v>61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3">
        <v>1.0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9">
        <v>0.0</v>
      </c>
    </row>
    <row r="13">
      <c r="A13" s="42" t="s">
        <v>104</v>
      </c>
      <c r="B13" s="31" t="s">
        <v>105</v>
      </c>
      <c r="C13" s="10" t="s">
        <v>49</v>
      </c>
      <c r="D13" s="11"/>
      <c r="E13" s="12"/>
      <c r="F13" s="13" t="s">
        <v>106</v>
      </c>
      <c r="G13" s="14" t="s">
        <v>107</v>
      </c>
      <c r="H13" s="13" t="s">
        <v>108</v>
      </c>
      <c r="I13" s="16" t="s">
        <v>62</v>
      </c>
      <c r="J13" s="21" t="s">
        <v>61</v>
      </c>
      <c r="K13" s="17"/>
      <c r="L13" s="17"/>
      <c r="M13" s="17"/>
      <c r="N13" s="17"/>
      <c r="O13" s="17"/>
      <c r="P13" s="17"/>
      <c r="Q13" s="13">
        <v>1.0</v>
      </c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3">
        <v>1.0</v>
      </c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9">
        <v>0.0</v>
      </c>
    </row>
    <row r="14">
      <c r="A14" s="42" t="s">
        <v>104</v>
      </c>
      <c r="B14" s="18" t="s">
        <v>110</v>
      </c>
      <c r="C14" s="10" t="s">
        <v>49</v>
      </c>
      <c r="D14" s="11"/>
      <c r="E14" s="12"/>
      <c r="F14" s="13" t="s">
        <v>64</v>
      </c>
      <c r="G14" s="14" t="s">
        <v>65</v>
      </c>
      <c r="H14" s="13" t="s">
        <v>66</v>
      </c>
      <c r="I14" s="16" t="s">
        <v>62</v>
      </c>
      <c r="J14" s="21" t="s">
        <v>61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3">
        <v>1.0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3">
        <v>1.0</v>
      </c>
      <c r="AM14" s="17"/>
      <c r="AN14" s="17"/>
      <c r="AO14" s="17"/>
      <c r="AP14" s="19">
        <v>0.0</v>
      </c>
    </row>
    <row r="15">
      <c r="A15" s="25"/>
      <c r="B15" s="18" t="s">
        <v>82</v>
      </c>
      <c r="C15" s="10" t="s">
        <v>83</v>
      </c>
      <c r="D15" s="11"/>
      <c r="E15" s="12"/>
      <c r="F15" s="13" t="s">
        <v>84</v>
      </c>
      <c r="G15" s="14" t="s">
        <v>85</v>
      </c>
      <c r="H15" s="13" t="s">
        <v>86</v>
      </c>
      <c r="I15" s="16" t="s">
        <v>51</v>
      </c>
      <c r="J15" s="21" t="s">
        <v>61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3">
        <v>1.0</v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9">
        <v>0.0</v>
      </c>
    </row>
    <row r="16">
      <c r="A16" s="25"/>
      <c r="B16" s="18" t="s">
        <v>116</v>
      </c>
      <c r="C16" s="10" t="s">
        <v>117</v>
      </c>
      <c r="D16" s="11"/>
      <c r="E16" s="12"/>
      <c r="F16" s="13" t="s">
        <v>118</v>
      </c>
      <c r="G16" s="14" t="s">
        <v>119</v>
      </c>
      <c r="H16" s="13" t="s">
        <v>120</v>
      </c>
      <c r="I16" s="16" t="s">
        <v>75</v>
      </c>
      <c r="J16" s="21" t="s">
        <v>61</v>
      </c>
      <c r="K16" s="17"/>
      <c r="L16" s="17"/>
      <c r="M16" s="17"/>
      <c r="N16" s="17"/>
      <c r="O16" s="17"/>
      <c r="P16" s="17"/>
      <c r="Q16" s="17"/>
      <c r="R16" s="13">
        <v>1.0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9">
        <v>0.0</v>
      </c>
    </row>
    <row r="17">
      <c r="A17" s="25"/>
      <c r="B17" s="18" t="s">
        <v>112</v>
      </c>
      <c r="C17" s="10" t="s">
        <v>49</v>
      </c>
      <c r="D17" s="11" t="s">
        <v>45</v>
      </c>
      <c r="E17" s="12">
        <v>45873.0</v>
      </c>
      <c r="F17" s="13" t="s">
        <v>113</v>
      </c>
      <c r="G17" s="14" t="s">
        <v>114</v>
      </c>
      <c r="H17" s="13" t="s">
        <v>123</v>
      </c>
      <c r="I17" s="16" t="s">
        <v>51</v>
      </c>
      <c r="J17" s="21" t="s">
        <v>61</v>
      </c>
      <c r="K17" s="17"/>
      <c r="L17" s="17"/>
      <c r="M17" s="17"/>
      <c r="N17" s="17"/>
      <c r="O17" s="17"/>
      <c r="P17" s="17"/>
      <c r="Q17" s="17"/>
      <c r="R17" s="13">
        <v>1.0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9">
        <v>0.0</v>
      </c>
    </row>
    <row r="18">
      <c r="A18" s="49" t="s">
        <v>104</v>
      </c>
      <c r="B18" s="13" t="s">
        <v>122</v>
      </c>
      <c r="C18" s="10" t="s">
        <v>49</v>
      </c>
      <c r="D18" s="11"/>
      <c r="E18" s="12"/>
      <c r="F18" s="13" t="s">
        <v>52</v>
      </c>
      <c r="G18" s="14" t="s">
        <v>53</v>
      </c>
      <c r="H18" s="13" t="s">
        <v>54</v>
      </c>
      <c r="I18" s="16" t="s">
        <v>62</v>
      </c>
      <c r="J18" s="21" t="s">
        <v>61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3">
        <v>1.0</v>
      </c>
      <c r="AF18" s="17"/>
      <c r="AG18" s="17"/>
      <c r="AH18" s="17"/>
      <c r="AI18" s="17"/>
      <c r="AJ18" s="17"/>
      <c r="AK18" s="17"/>
      <c r="AL18" s="13">
        <v>1.0</v>
      </c>
      <c r="AM18" s="17"/>
      <c r="AN18" s="17"/>
      <c r="AO18" s="17"/>
      <c r="AP18" s="19">
        <v>0.0</v>
      </c>
    </row>
    <row r="19">
      <c r="H19" s="50"/>
    </row>
    <row r="20">
      <c r="H20" s="50"/>
    </row>
    <row r="21">
      <c r="H21" s="50"/>
    </row>
    <row r="22">
      <c r="H22" s="50"/>
    </row>
    <row r="23">
      <c r="H23" s="50"/>
    </row>
  </sheetData>
  <dataValidations>
    <dataValidation type="list" allowBlank="1" showErrorMessage="1" sqref="I2:I18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8">
      <formula1>"UNIMED SÃO CARLOS,AMIL,PASA,UNIMED GUARULHOS,UNIMED NACIONAL,VIVEST,UNIMED SANTOS"</formula1>
    </dataValidation>
    <dataValidation type="list" allowBlank="1" showErrorMessage="1" sqref="J2:J18">
      <formula1>"Ok,S/A"</formula1>
    </dataValidation>
    <dataValidation type="list" allowBlank="1" showErrorMessage="1" sqref="D2:D18">
      <formula1>"NOVO PACIENTE,READMISSÃO,TROCA,INTENSIFICAÇÃO,DESMAME,COBERTURA,REVEZAMENTO"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10.13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7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8" t="s">
        <v>42</v>
      </c>
      <c r="B2" s="18" t="s">
        <v>46</v>
      </c>
      <c r="C2" s="10" t="s">
        <v>49</v>
      </c>
      <c r="D2" s="11"/>
      <c r="E2" s="12"/>
      <c r="F2" s="13" t="s">
        <v>52</v>
      </c>
      <c r="G2" s="14" t="s">
        <v>53</v>
      </c>
      <c r="H2" s="13" t="s">
        <v>54</v>
      </c>
      <c r="I2" s="16" t="s">
        <v>51</v>
      </c>
      <c r="J2" s="21" t="s">
        <v>61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3"/>
      <c r="AG2" s="17"/>
      <c r="AH2" s="17"/>
      <c r="AI2" s="17"/>
      <c r="AJ2" s="17"/>
      <c r="AK2" s="17"/>
      <c r="AL2" s="17"/>
      <c r="AM2" s="13">
        <v>1.0</v>
      </c>
      <c r="AN2" s="17"/>
      <c r="AO2" s="17"/>
      <c r="AP2" s="19">
        <v>1.0</v>
      </c>
    </row>
    <row r="3">
      <c r="A3" s="20" t="s">
        <v>60</v>
      </c>
      <c r="B3" s="18" t="s">
        <v>63</v>
      </c>
      <c r="C3" s="10" t="s">
        <v>49</v>
      </c>
      <c r="D3" s="11"/>
      <c r="E3" s="12"/>
      <c r="F3" s="13" t="s">
        <v>64</v>
      </c>
      <c r="G3" s="14" t="s">
        <v>65</v>
      </c>
      <c r="H3" s="13" t="s">
        <v>66</v>
      </c>
      <c r="I3" s="16" t="s">
        <v>67</v>
      </c>
      <c r="J3" s="21" t="s">
        <v>76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9">
        <v>0.0</v>
      </c>
    </row>
    <row r="4">
      <c r="A4" s="22" t="s">
        <v>68</v>
      </c>
      <c r="B4" s="30" t="s">
        <v>74</v>
      </c>
      <c r="C4" s="10" t="s">
        <v>49</v>
      </c>
      <c r="D4" s="11"/>
      <c r="E4" s="12"/>
      <c r="F4" s="13" t="s">
        <v>64</v>
      </c>
      <c r="G4" s="14" t="s">
        <v>65</v>
      </c>
      <c r="H4" s="13" t="s">
        <v>66</v>
      </c>
      <c r="I4" s="16" t="s">
        <v>75</v>
      </c>
      <c r="J4" s="21" t="s">
        <v>61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19">
        <v>0.0</v>
      </c>
    </row>
    <row r="5">
      <c r="A5" s="25"/>
      <c r="B5" s="31" t="s">
        <v>74</v>
      </c>
      <c r="C5" s="10" t="s">
        <v>49</v>
      </c>
      <c r="D5" s="11" t="s">
        <v>109</v>
      </c>
      <c r="E5" s="12">
        <v>45923.0</v>
      </c>
      <c r="F5" s="13" t="s">
        <v>64</v>
      </c>
      <c r="G5" s="14" t="s">
        <v>65</v>
      </c>
      <c r="H5" s="13" t="s">
        <v>66</v>
      </c>
      <c r="I5" s="16" t="s">
        <v>51</v>
      </c>
      <c r="J5" s="21" t="s">
        <v>61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3">
        <v>1.0</v>
      </c>
      <c r="AI5" s="17"/>
      <c r="AJ5" s="17"/>
      <c r="AK5" s="17"/>
      <c r="AL5" s="17"/>
      <c r="AM5" s="17"/>
      <c r="AN5" s="13"/>
      <c r="AO5" s="17"/>
      <c r="AP5" s="19">
        <v>1.0</v>
      </c>
    </row>
    <row r="6">
      <c r="A6" s="25"/>
      <c r="B6" s="18" t="s">
        <v>43</v>
      </c>
      <c r="C6" s="10" t="s">
        <v>44</v>
      </c>
      <c r="D6" s="11"/>
      <c r="E6" s="12"/>
      <c r="F6" s="13" t="s">
        <v>47</v>
      </c>
      <c r="G6" s="14" t="s">
        <v>94</v>
      </c>
      <c r="H6" s="13" t="s">
        <v>95</v>
      </c>
      <c r="I6" s="16" t="s">
        <v>51</v>
      </c>
      <c r="J6" s="21" t="s">
        <v>61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3">
        <v>1.0</v>
      </c>
      <c r="AN6" s="13"/>
      <c r="AO6" s="17"/>
      <c r="AP6" s="19">
        <v>1.0</v>
      </c>
    </row>
    <row r="7">
      <c r="A7" s="25"/>
      <c r="B7" s="18" t="s">
        <v>87</v>
      </c>
      <c r="C7" s="32" t="s">
        <v>49</v>
      </c>
      <c r="D7" s="33"/>
      <c r="E7" s="34"/>
      <c r="F7" s="18" t="s">
        <v>64</v>
      </c>
      <c r="G7" s="35" t="s">
        <v>65</v>
      </c>
      <c r="H7" s="18" t="s">
        <v>66</v>
      </c>
      <c r="I7" s="36" t="s">
        <v>75</v>
      </c>
      <c r="J7" s="21" t="s">
        <v>61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18">
        <v>1.0</v>
      </c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9">
        <v>1.0</v>
      </c>
    </row>
    <row r="8">
      <c r="A8" s="25"/>
      <c r="B8" s="18" t="s">
        <v>92</v>
      </c>
      <c r="C8" s="32" t="s">
        <v>49</v>
      </c>
      <c r="D8" s="33"/>
      <c r="E8" s="34"/>
      <c r="F8" s="18" t="s">
        <v>64</v>
      </c>
      <c r="G8" s="35" t="s">
        <v>65</v>
      </c>
      <c r="H8" s="18" t="s">
        <v>66</v>
      </c>
      <c r="I8" s="36" t="s">
        <v>75</v>
      </c>
      <c r="J8" s="21" t="s">
        <v>61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18">
        <v>1.0</v>
      </c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9">
        <v>1.0</v>
      </c>
    </row>
    <row r="9">
      <c r="A9" s="42" t="s">
        <v>121</v>
      </c>
      <c r="B9" s="31" t="s">
        <v>55</v>
      </c>
      <c r="C9" s="10" t="s">
        <v>56</v>
      </c>
      <c r="D9" s="11"/>
      <c r="E9" s="12"/>
      <c r="F9" s="13" t="s">
        <v>57</v>
      </c>
      <c r="G9" s="14" t="s">
        <v>58</v>
      </c>
      <c r="H9" s="15" t="s">
        <v>59</v>
      </c>
      <c r="I9" s="16" t="s">
        <v>62</v>
      </c>
      <c r="J9" s="21" t="s">
        <v>61</v>
      </c>
      <c r="K9" s="17"/>
      <c r="L9" s="17"/>
      <c r="M9" s="17"/>
      <c r="N9" s="17"/>
      <c r="O9" s="17"/>
      <c r="P9" s="17"/>
      <c r="Q9" s="17"/>
      <c r="R9" s="13">
        <v>1.0</v>
      </c>
      <c r="S9" s="17"/>
      <c r="T9" s="17"/>
      <c r="U9" s="13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3">
        <v>1.0</v>
      </c>
      <c r="AG9" s="17"/>
      <c r="AH9" s="17"/>
      <c r="AI9" s="13"/>
      <c r="AJ9" s="17"/>
      <c r="AK9" s="17"/>
      <c r="AL9" s="17"/>
      <c r="AM9" s="17"/>
      <c r="AN9" s="17"/>
      <c r="AO9" s="17"/>
      <c r="AP9" s="19">
        <v>2.0</v>
      </c>
    </row>
    <row r="10">
      <c r="A10" s="42"/>
      <c r="B10" s="31" t="s">
        <v>69</v>
      </c>
      <c r="C10" s="10" t="s">
        <v>49</v>
      </c>
      <c r="D10" s="11"/>
      <c r="E10" s="12"/>
      <c r="F10" s="13" t="s">
        <v>71</v>
      </c>
      <c r="G10" s="14" t="s">
        <v>72</v>
      </c>
      <c r="H10" s="13" t="s">
        <v>73</v>
      </c>
      <c r="I10" s="16" t="s">
        <v>51</v>
      </c>
      <c r="J10" s="21" t="s">
        <v>61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30"/>
      <c r="Y10" s="30"/>
      <c r="Z10" s="30"/>
      <c r="AA10" s="30"/>
      <c r="AB10" s="30"/>
      <c r="AC10" s="30"/>
      <c r="AD10" s="30"/>
      <c r="AE10" s="30"/>
      <c r="AF10" s="30"/>
      <c r="AG10" s="31"/>
      <c r="AH10" s="31"/>
      <c r="AI10" s="31"/>
      <c r="AJ10" s="31"/>
      <c r="AK10" s="31"/>
      <c r="AL10" s="31"/>
      <c r="AM10" s="31">
        <v>1.0</v>
      </c>
      <c r="AN10" s="31"/>
      <c r="AO10" s="31"/>
      <c r="AP10" s="19">
        <v>1.0</v>
      </c>
    </row>
    <row r="11">
      <c r="A11" s="42" t="s">
        <v>121</v>
      </c>
      <c r="B11" s="31" t="s">
        <v>105</v>
      </c>
      <c r="C11" s="10" t="s">
        <v>49</v>
      </c>
      <c r="D11" s="11"/>
      <c r="E11" s="12"/>
      <c r="F11" s="13" t="s">
        <v>106</v>
      </c>
      <c r="G11" s="14" t="s">
        <v>107</v>
      </c>
      <c r="H11" s="13" t="s">
        <v>108</v>
      </c>
      <c r="I11" s="16" t="s">
        <v>62</v>
      </c>
      <c r="J11" s="21" t="s">
        <v>61</v>
      </c>
      <c r="K11" s="17"/>
      <c r="L11" s="17"/>
      <c r="M11" s="17"/>
      <c r="N11" s="17"/>
      <c r="O11" s="17"/>
      <c r="P11" s="17"/>
      <c r="Q11" s="13"/>
      <c r="R11" s="13">
        <v>1.0</v>
      </c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3"/>
      <c r="AF11" s="17"/>
      <c r="AG11" s="17"/>
      <c r="AH11" s="13">
        <v>1.0</v>
      </c>
      <c r="AI11" s="17"/>
      <c r="AJ11" s="17"/>
      <c r="AK11" s="17"/>
      <c r="AL11" s="17"/>
      <c r="AM11" s="17"/>
      <c r="AN11" s="17"/>
      <c r="AO11" s="17"/>
      <c r="AP11" s="19">
        <v>2.0</v>
      </c>
    </row>
    <row r="12">
      <c r="A12" s="42" t="s">
        <v>121</v>
      </c>
      <c r="B12" s="18" t="s">
        <v>110</v>
      </c>
      <c r="C12" s="10" t="s">
        <v>49</v>
      </c>
      <c r="D12" s="11"/>
      <c r="E12" s="12"/>
      <c r="F12" s="13" t="s">
        <v>64</v>
      </c>
      <c r="G12" s="14" t="s">
        <v>65</v>
      </c>
      <c r="H12" s="13" t="s">
        <v>66</v>
      </c>
      <c r="I12" s="16" t="s">
        <v>62</v>
      </c>
      <c r="J12" s="21" t="s">
        <v>61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3">
        <v>1.0</v>
      </c>
      <c r="V12" s="17"/>
      <c r="W12" s="17"/>
      <c r="X12" s="13"/>
      <c r="Y12" s="17"/>
      <c r="Z12" s="17"/>
      <c r="AA12" s="17"/>
      <c r="AB12" s="17"/>
      <c r="AC12" s="17"/>
      <c r="AD12" s="17"/>
      <c r="AE12" s="17"/>
      <c r="AF12" s="13">
        <v>1.0</v>
      </c>
      <c r="AG12" s="17"/>
      <c r="AH12" s="17"/>
      <c r="AI12" s="17"/>
      <c r="AJ12" s="17"/>
      <c r="AK12" s="17"/>
      <c r="AL12" s="13"/>
      <c r="AM12" s="17"/>
      <c r="AN12" s="17"/>
      <c r="AO12" s="17"/>
      <c r="AP12" s="19">
        <v>2.0</v>
      </c>
    </row>
    <row r="13">
      <c r="A13" s="25"/>
      <c r="B13" s="18" t="s">
        <v>82</v>
      </c>
      <c r="C13" s="10" t="s">
        <v>83</v>
      </c>
      <c r="D13" s="11"/>
      <c r="E13" s="12"/>
      <c r="F13" s="13" t="s">
        <v>84</v>
      </c>
      <c r="G13" s="14" t="s">
        <v>85</v>
      </c>
      <c r="H13" s="13" t="s">
        <v>86</v>
      </c>
      <c r="I13" s="16" t="s">
        <v>51</v>
      </c>
      <c r="J13" s="21" t="s">
        <v>61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3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3">
        <v>1.0</v>
      </c>
      <c r="AH13" s="17"/>
      <c r="AI13" s="17"/>
      <c r="AJ13" s="17"/>
      <c r="AK13" s="17"/>
      <c r="AL13" s="17"/>
      <c r="AM13" s="17"/>
      <c r="AN13" s="17"/>
      <c r="AO13" s="17"/>
      <c r="AP13" s="19">
        <v>1.0</v>
      </c>
    </row>
    <row r="14">
      <c r="A14" s="25"/>
      <c r="B14" s="18" t="s">
        <v>116</v>
      </c>
      <c r="C14" s="10" t="s">
        <v>117</v>
      </c>
      <c r="D14" s="11"/>
      <c r="E14" s="12"/>
      <c r="F14" s="13" t="s">
        <v>118</v>
      </c>
      <c r="G14" s="14" t="s">
        <v>119</v>
      </c>
      <c r="H14" s="13" t="s">
        <v>120</v>
      </c>
      <c r="I14" s="16" t="s">
        <v>75</v>
      </c>
      <c r="J14" s="21" t="s">
        <v>61</v>
      </c>
      <c r="K14" s="17"/>
      <c r="L14" s="17"/>
      <c r="M14" s="17"/>
      <c r="N14" s="17"/>
      <c r="O14" s="17"/>
      <c r="P14" s="17"/>
      <c r="Q14" s="17"/>
      <c r="R14" s="13"/>
      <c r="S14" s="17"/>
      <c r="T14" s="17"/>
      <c r="U14" s="17"/>
      <c r="V14" s="17"/>
      <c r="W14" s="17"/>
      <c r="X14" s="17"/>
      <c r="Y14" s="17"/>
      <c r="Z14" s="17"/>
      <c r="AA14" s="13">
        <v>1.0</v>
      </c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9">
        <v>1.0</v>
      </c>
    </row>
    <row r="15">
      <c r="A15" s="25"/>
      <c r="B15" s="18" t="s">
        <v>112</v>
      </c>
      <c r="C15" s="10" t="s">
        <v>49</v>
      </c>
      <c r="D15" s="11"/>
      <c r="E15" s="12"/>
      <c r="F15" s="13" t="s">
        <v>113</v>
      </c>
      <c r="G15" s="14" t="s">
        <v>114</v>
      </c>
      <c r="H15" s="13" t="s">
        <v>123</v>
      </c>
      <c r="I15" s="16" t="s">
        <v>51</v>
      </c>
      <c r="J15" s="21" t="s">
        <v>61</v>
      </c>
      <c r="K15" s="17"/>
      <c r="L15" s="17"/>
      <c r="M15" s="17"/>
      <c r="N15" s="17"/>
      <c r="O15" s="17"/>
      <c r="P15" s="17"/>
      <c r="Q15" s="17"/>
      <c r="R15" s="13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3">
        <v>1.0</v>
      </c>
      <c r="AK15" s="17"/>
      <c r="AL15" s="17"/>
      <c r="AM15" s="17"/>
      <c r="AN15" s="17"/>
      <c r="AO15" s="17"/>
      <c r="AP15" s="19">
        <v>1.0</v>
      </c>
    </row>
    <row r="16">
      <c r="A16" s="49" t="s">
        <v>124</v>
      </c>
      <c r="B16" s="13" t="s">
        <v>122</v>
      </c>
      <c r="C16" s="10" t="s">
        <v>49</v>
      </c>
      <c r="D16" s="11"/>
      <c r="E16" s="12"/>
      <c r="F16" s="13" t="s">
        <v>52</v>
      </c>
      <c r="G16" s="14" t="s">
        <v>53</v>
      </c>
      <c r="H16" s="13" t="s">
        <v>54</v>
      </c>
      <c r="I16" s="16" t="s">
        <v>62</v>
      </c>
      <c r="J16" s="21" t="s">
        <v>61</v>
      </c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3">
        <v>1.0</v>
      </c>
      <c r="AC16" s="17"/>
      <c r="AD16" s="17"/>
      <c r="AE16" s="13"/>
      <c r="AF16" s="17"/>
      <c r="AG16" s="17"/>
      <c r="AH16" s="17"/>
      <c r="AI16" s="17"/>
      <c r="AJ16" s="17"/>
      <c r="AK16" s="17"/>
      <c r="AL16" s="13"/>
      <c r="AM16" s="13">
        <v>1.0</v>
      </c>
      <c r="AN16" s="17"/>
      <c r="AO16" s="17"/>
      <c r="AP16" s="19">
        <v>2.0</v>
      </c>
    </row>
    <row r="17">
      <c r="H17" s="50"/>
    </row>
    <row r="18">
      <c r="H18" s="50"/>
    </row>
    <row r="19">
      <c r="H19" s="50"/>
    </row>
    <row r="20">
      <c r="H20" s="50"/>
    </row>
    <row r="21">
      <c r="H21" s="50"/>
    </row>
  </sheetData>
  <dataValidations>
    <dataValidation type="list" allowBlank="1" showErrorMessage="1" sqref="I2:I16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6">
      <formula1>"UNIMED SÃO CARLOS,AMIL,PASA,UNIMED GUARULHOS,UNIMED NACIONAL,VIVEST,UNIMED SANTOS"</formula1>
    </dataValidation>
    <dataValidation type="list" allowBlank="1" showErrorMessage="1" sqref="J2:J16">
      <formula1>"Ok,S/A"</formula1>
    </dataValidation>
    <dataValidation type="list" allowBlank="1" showErrorMessage="1" sqref="D2:D16">
      <formula1>"NOVO PACIENTE,READMISSÃO,TROCA,INTENSIFICAÇÃO,DESMAME,COBERTURA,REVEZAMENTO"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10.13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7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18" t="s">
        <v>46</v>
      </c>
      <c r="C2" s="10" t="s">
        <v>49</v>
      </c>
      <c r="D2" s="11"/>
      <c r="E2" s="12"/>
      <c r="F2" s="13" t="s">
        <v>52</v>
      </c>
      <c r="G2" s="14" t="s">
        <v>53</v>
      </c>
      <c r="H2" s="13" t="s">
        <v>54</v>
      </c>
      <c r="I2" s="16" t="s">
        <v>51</v>
      </c>
      <c r="J2" s="21" t="s">
        <v>61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3">
        <v>1.0</v>
      </c>
      <c r="AN2" s="17"/>
      <c r="AO2" s="17"/>
      <c r="AP2" s="19">
        <v>0.0</v>
      </c>
    </row>
    <row r="3">
      <c r="A3" s="40" t="s">
        <v>60</v>
      </c>
      <c r="B3" s="18" t="s">
        <v>63</v>
      </c>
      <c r="C3" s="10" t="s">
        <v>49</v>
      </c>
      <c r="D3" s="11"/>
      <c r="E3" s="12"/>
      <c r="F3" s="13" t="s">
        <v>64</v>
      </c>
      <c r="G3" s="14" t="s">
        <v>65</v>
      </c>
      <c r="H3" s="13" t="s">
        <v>66</v>
      </c>
      <c r="I3" s="16" t="s">
        <v>67</v>
      </c>
      <c r="J3" s="21" t="s">
        <v>61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3">
        <v>1.0</v>
      </c>
      <c r="AH3" s="17"/>
      <c r="AI3" s="17"/>
      <c r="AJ3" s="17"/>
      <c r="AK3" s="17"/>
      <c r="AL3" s="17"/>
      <c r="AM3" s="17"/>
      <c r="AN3" s="17"/>
      <c r="AO3" s="17"/>
      <c r="AP3" s="19">
        <v>0.0</v>
      </c>
    </row>
    <row r="4">
      <c r="A4" s="41" t="s">
        <v>68</v>
      </c>
      <c r="B4" s="30" t="s">
        <v>74</v>
      </c>
      <c r="C4" s="10" t="s">
        <v>49</v>
      </c>
      <c r="D4" s="11"/>
      <c r="E4" s="12"/>
      <c r="F4" s="13" t="s">
        <v>64</v>
      </c>
      <c r="G4" s="14" t="s">
        <v>65</v>
      </c>
      <c r="H4" s="13" t="s">
        <v>66</v>
      </c>
      <c r="I4" s="16" t="s">
        <v>51</v>
      </c>
      <c r="J4" s="21" t="s">
        <v>76</v>
      </c>
      <c r="K4" s="17"/>
      <c r="L4" s="17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19">
        <v>0.0</v>
      </c>
    </row>
    <row r="5">
      <c r="A5" s="43" t="s">
        <v>111</v>
      </c>
      <c r="B5" s="18" t="s">
        <v>43</v>
      </c>
      <c r="C5" s="10" t="s">
        <v>44</v>
      </c>
      <c r="D5" s="11"/>
      <c r="E5" s="12"/>
      <c r="F5" s="13" t="s">
        <v>47</v>
      </c>
      <c r="G5" s="14" t="s">
        <v>94</v>
      </c>
      <c r="H5" s="13" t="s">
        <v>95</v>
      </c>
      <c r="I5" s="16" t="s">
        <v>51</v>
      </c>
      <c r="J5" s="21" t="s">
        <v>61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3">
        <v>1.0</v>
      </c>
      <c r="AP5" s="19">
        <v>0.0</v>
      </c>
    </row>
    <row r="6">
      <c r="A6" s="25"/>
      <c r="B6" s="18" t="s">
        <v>87</v>
      </c>
      <c r="C6" s="32" t="s">
        <v>49</v>
      </c>
      <c r="D6" s="33"/>
      <c r="E6" s="34"/>
      <c r="F6" s="18" t="s">
        <v>64</v>
      </c>
      <c r="G6" s="35" t="s">
        <v>65</v>
      </c>
      <c r="H6" s="18" t="s">
        <v>66</v>
      </c>
      <c r="I6" s="36" t="s">
        <v>75</v>
      </c>
      <c r="J6" s="21" t="s">
        <v>76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39">
        <v>0.0</v>
      </c>
    </row>
    <row r="7">
      <c r="A7" s="25"/>
      <c r="B7" s="18" t="s">
        <v>92</v>
      </c>
      <c r="C7" s="32" t="s">
        <v>49</v>
      </c>
      <c r="D7" s="33"/>
      <c r="E7" s="34"/>
      <c r="F7" s="18" t="s">
        <v>64</v>
      </c>
      <c r="G7" s="35" t="s">
        <v>65</v>
      </c>
      <c r="H7" s="18" t="s">
        <v>66</v>
      </c>
      <c r="I7" s="36" t="s">
        <v>75</v>
      </c>
      <c r="J7" s="21" t="s">
        <v>76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3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39">
        <v>0.0</v>
      </c>
    </row>
    <row r="8">
      <c r="A8" s="42"/>
      <c r="B8" s="46" t="s">
        <v>55</v>
      </c>
      <c r="C8" s="10" t="s">
        <v>56</v>
      </c>
      <c r="D8" s="11"/>
      <c r="E8" s="12"/>
      <c r="F8" s="13" t="s">
        <v>57</v>
      </c>
      <c r="G8" s="14" t="s">
        <v>58</v>
      </c>
      <c r="H8" s="15" t="s">
        <v>59</v>
      </c>
      <c r="I8" s="16" t="s">
        <v>62</v>
      </c>
      <c r="J8" s="21" t="s">
        <v>76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19">
        <v>0.0</v>
      </c>
    </row>
    <row r="9">
      <c r="A9" s="42"/>
      <c r="B9" s="31" t="s">
        <v>69</v>
      </c>
      <c r="C9" s="10" t="s">
        <v>49</v>
      </c>
      <c r="D9" s="11"/>
      <c r="E9" s="12"/>
      <c r="F9" s="13" t="s">
        <v>71</v>
      </c>
      <c r="G9" s="14" t="s">
        <v>72</v>
      </c>
      <c r="H9" s="13" t="s">
        <v>73</v>
      </c>
      <c r="I9" s="16" t="s">
        <v>51</v>
      </c>
      <c r="J9" s="21" t="s">
        <v>61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48"/>
      <c r="AC9" s="48"/>
      <c r="AD9" s="48"/>
      <c r="AE9" s="48"/>
      <c r="AF9" s="48"/>
      <c r="AG9" s="48"/>
      <c r="AH9" s="37"/>
      <c r="AI9" s="37"/>
      <c r="AJ9" s="37"/>
      <c r="AK9" s="37"/>
      <c r="AL9" s="37"/>
      <c r="AM9" s="37"/>
      <c r="AN9" s="37"/>
      <c r="AO9" s="18">
        <v>1.0</v>
      </c>
      <c r="AP9" s="19">
        <v>0.0</v>
      </c>
    </row>
    <row r="10">
      <c r="A10" s="42" t="s">
        <v>104</v>
      </c>
      <c r="B10" s="31" t="s">
        <v>105</v>
      </c>
      <c r="C10" s="10" t="s">
        <v>49</v>
      </c>
      <c r="D10" s="11"/>
      <c r="E10" s="12"/>
      <c r="F10" s="13" t="s">
        <v>106</v>
      </c>
      <c r="G10" s="14" t="s">
        <v>107</v>
      </c>
      <c r="H10" s="13" t="s">
        <v>108</v>
      </c>
      <c r="I10" s="16" t="s">
        <v>62</v>
      </c>
      <c r="J10" s="21" t="s">
        <v>61</v>
      </c>
      <c r="K10" s="17"/>
      <c r="L10" s="17"/>
      <c r="M10" s="17"/>
      <c r="N10" s="17"/>
      <c r="O10" s="17"/>
      <c r="P10" s="17"/>
      <c r="Q10" s="17"/>
      <c r="R10" s="17"/>
      <c r="S10" s="13">
        <v>1.0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3">
        <v>1.0</v>
      </c>
      <c r="AI10" s="17"/>
      <c r="AJ10" s="17"/>
      <c r="AK10" s="17"/>
      <c r="AL10" s="17"/>
      <c r="AM10" s="17"/>
      <c r="AN10" s="17"/>
      <c r="AO10" s="17"/>
      <c r="AP10" s="19">
        <v>0.0</v>
      </c>
    </row>
    <row r="11">
      <c r="A11" s="42"/>
      <c r="B11" s="18" t="s">
        <v>110</v>
      </c>
      <c r="C11" s="10" t="s">
        <v>49</v>
      </c>
      <c r="D11" s="11"/>
      <c r="E11" s="12"/>
      <c r="F11" s="13" t="s">
        <v>64</v>
      </c>
      <c r="G11" s="14" t="s">
        <v>65</v>
      </c>
      <c r="H11" s="13" t="s">
        <v>66</v>
      </c>
      <c r="I11" s="16" t="s">
        <v>62</v>
      </c>
      <c r="J11" s="21" t="s">
        <v>61</v>
      </c>
      <c r="K11" s="17"/>
      <c r="L11" s="17"/>
      <c r="M11" s="17"/>
      <c r="N11" s="17"/>
      <c r="O11" s="17"/>
      <c r="P11" s="17"/>
      <c r="Q11" s="17"/>
      <c r="R11" s="17"/>
      <c r="S11" s="17"/>
      <c r="T11" s="13">
        <v>1.0</v>
      </c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3">
        <v>1.0</v>
      </c>
      <c r="AJ11" s="17"/>
      <c r="AK11" s="17"/>
      <c r="AL11" s="17"/>
      <c r="AM11" s="17"/>
      <c r="AN11" s="17"/>
      <c r="AO11" s="17"/>
      <c r="AP11" s="19">
        <v>0.0</v>
      </c>
    </row>
    <row r="12">
      <c r="A12" s="25"/>
      <c r="B12" s="18" t="s">
        <v>82</v>
      </c>
      <c r="C12" s="10" t="s">
        <v>83</v>
      </c>
      <c r="D12" s="11"/>
      <c r="E12" s="12"/>
      <c r="F12" s="13" t="s">
        <v>84</v>
      </c>
      <c r="G12" s="14" t="s">
        <v>85</v>
      </c>
      <c r="H12" s="13" t="s">
        <v>86</v>
      </c>
      <c r="I12" s="16" t="s">
        <v>51</v>
      </c>
      <c r="J12" s="21" t="s">
        <v>61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3">
        <v>1.0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9">
        <v>0.0</v>
      </c>
    </row>
    <row r="13">
      <c r="A13" s="25"/>
      <c r="B13" s="18" t="s">
        <v>116</v>
      </c>
      <c r="C13" s="10" t="s">
        <v>117</v>
      </c>
      <c r="D13" s="11"/>
      <c r="E13" s="12"/>
      <c r="F13" s="13" t="s">
        <v>118</v>
      </c>
      <c r="G13" s="14" t="s">
        <v>119</v>
      </c>
      <c r="H13" s="13" t="s">
        <v>120</v>
      </c>
      <c r="I13" s="16" t="s">
        <v>75</v>
      </c>
      <c r="J13" s="21" t="s">
        <v>61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3">
        <v>1.0</v>
      </c>
      <c r="AG13" s="17"/>
      <c r="AH13" s="17"/>
      <c r="AI13" s="17"/>
      <c r="AJ13" s="17"/>
      <c r="AK13" s="17"/>
      <c r="AL13" s="17"/>
      <c r="AM13" s="17"/>
      <c r="AN13" s="17"/>
      <c r="AO13" s="17"/>
      <c r="AP13" s="19">
        <v>0.0</v>
      </c>
    </row>
    <row r="14">
      <c r="A14" s="25"/>
      <c r="B14" s="18" t="s">
        <v>112</v>
      </c>
      <c r="C14" s="10" t="s">
        <v>49</v>
      </c>
      <c r="D14" s="11"/>
      <c r="E14" s="12"/>
      <c r="F14" s="13" t="s">
        <v>113</v>
      </c>
      <c r="G14" s="14" t="s">
        <v>114</v>
      </c>
      <c r="H14" s="13" t="s">
        <v>123</v>
      </c>
      <c r="I14" s="16" t="s">
        <v>51</v>
      </c>
      <c r="J14" s="21" t="s">
        <v>61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3">
        <v>1.0</v>
      </c>
      <c r="AO14" s="17"/>
      <c r="AP14" s="19">
        <v>0.0</v>
      </c>
    </row>
    <row r="15">
      <c r="A15" s="49" t="s">
        <v>126</v>
      </c>
      <c r="B15" s="31" t="s">
        <v>122</v>
      </c>
      <c r="C15" s="10" t="s">
        <v>49</v>
      </c>
      <c r="D15" s="11"/>
      <c r="E15" s="12"/>
      <c r="F15" s="13" t="s">
        <v>52</v>
      </c>
      <c r="G15" s="14" t="s">
        <v>53</v>
      </c>
      <c r="H15" s="13" t="s">
        <v>54</v>
      </c>
      <c r="I15" s="16" t="s">
        <v>62</v>
      </c>
      <c r="J15" s="21" t="s">
        <v>61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48"/>
      <c r="AF15" s="48"/>
      <c r="AG15" s="37"/>
      <c r="AH15" s="37"/>
      <c r="AI15" s="37"/>
      <c r="AJ15" s="37"/>
      <c r="AK15" s="37"/>
      <c r="AL15" s="37"/>
      <c r="AM15" s="18">
        <v>1.0</v>
      </c>
      <c r="AN15" s="37"/>
      <c r="AO15" s="37"/>
      <c r="AP15" s="19">
        <v>0.0</v>
      </c>
    </row>
    <row r="16">
      <c r="H16" s="50"/>
    </row>
    <row r="17">
      <c r="H17" s="50"/>
    </row>
    <row r="18">
      <c r="H18" s="50"/>
    </row>
  </sheetData>
  <dataValidations>
    <dataValidation type="list" allowBlank="1" showErrorMessage="1" sqref="I2:I1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5">
      <formula1>"UNIMED SÃO CARLOS,AMIL,PASA,UNIMED GUARULHOS,UNIMED NACIONAL,VIVEST,UNIMED SANTOS"</formula1>
    </dataValidation>
    <dataValidation type="list" allowBlank="1" showErrorMessage="1" sqref="J2:J15">
      <formula1>"Ok,S/A"</formula1>
    </dataValidation>
    <dataValidation type="list" allowBlank="1" showErrorMessage="1" sqref="D2:D15">
      <formula1>"NOVO PACIENTE,READMISSÃO,TROCA,INTENSIFICAÇÃO,DESMAME,COBERTURA,REVEZAMENTO"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A7D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10.13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7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30" t="s">
        <v>46</v>
      </c>
      <c r="C2" s="10" t="s">
        <v>49</v>
      </c>
      <c r="D2" s="11"/>
      <c r="E2" s="12"/>
      <c r="F2" s="13" t="s">
        <v>52</v>
      </c>
      <c r="G2" s="14" t="s">
        <v>53</v>
      </c>
      <c r="H2" s="13" t="s">
        <v>54</v>
      </c>
      <c r="I2" s="16" t="s">
        <v>51</v>
      </c>
      <c r="J2" s="21" t="s">
        <v>76</v>
      </c>
      <c r="K2" s="17"/>
      <c r="L2" s="17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19">
        <v>0.0</v>
      </c>
    </row>
    <row r="3">
      <c r="A3" s="40" t="s">
        <v>60</v>
      </c>
      <c r="B3" s="18" t="s">
        <v>63</v>
      </c>
      <c r="C3" s="10" t="s">
        <v>49</v>
      </c>
      <c r="D3" s="11"/>
      <c r="E3" s="12"/>
      <c r="F3" s="13" t="s">
        <v>64</v>
      </c>
      <c r="G3" s="14" t="s">
        <v>65</v>
      </c>
      <c r="H3" s="13" t="s">
        <v>66</v>
      </c>
      <c r="I3" s="16" t="s">
        <v>67</v>
      </c>
      <c r="J3" s="21" t="s">
        <v>76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9">
        <v>0.0</v>
      </c>
    </row>
    <row r="4">
      <c r="A4" s="41" t="s">
        <v>68</v>
      </c>
      <c r="B4" s="44" t="s">
        <v>43</v>
      </c>
      <c r="C4" s="10" t="s">
        <v>44</v>
      </c>
      <c r="D4" s="11"/>
      <c r="E4" s="12"/>
      <c r="F4" s="13" t="s">
        <v>47</v>
      </c>
      <c r="G4" s="14" t="s">
        <v>94</v>
      </c>
      <c r="H4" s="13" t="s">
        <v>95</v>
      </c>
      <c r="I4" s="16" t="s">
        <v>51</v>
      </c>
      <c r="J4" s="21" t="s">
        <v>76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39"/>
      <c r="AM4" s="39"/>
      <c r="AN4" s="44"/>
      <c r="AO4" s="44"/>
      <c r="AP4" s="19">
        <v>0.0</v>
      </c>
    </row>
    <row r="5">
      <c r="A5" s="43" t="s">
        <v>111</v>
      </c>
      <c r="B5" s="44" t="s">
        <v>43</v>
      </c>
      <c r="C5" s="10" t="s">
        <v>44</v>
      </c>
      <c r="D5" s="33" t="s">
        <v>93</v>
      </c>
      <c r="E5" s="34">
        <v>45973.0</v>
      </c>
      <c r="F5" s="13" t="s">
        <v>47</v>
      </c>
      <c r="G5" s="35" t="s">
        <v>125</v>
      </c>
      <c r="H5" s="18" t="s">
        <v>50</v>
      </c>
      <c r="I5" s="16" t="s">
        <v>51</v>
      </c>
      <c r="J5" s="21" t="s">
        <v>61</v>
      </c>
      <c r="K5" s="17"/>
      <c r="L5" s="17"/>
      <c r="M5" s="17"/>
      <c r="N5" s="13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3">
        <v>1.0</v>
      </c>
      <c r="AG5" s="17"/>
      <c r="AH5" s="17"/>
      <c r="AI5" s="17"/>
      <c r="AJ5" s="17"/>
      <c r="AK5" s="17"/>
      <c r="AL5" s="39"/>
      <c r="AM5" s="39"/>
      <c r="AN5" s="44"/>
      <c r="AO5" s="44"/>
      <c r="AP5" s="19">
        <v>0.0</v>
      </c>
    </row>
    <row r="6">
      <c r="A6" s="51"/>
      <c r="B6" s="18" t="s">
        <v>87</v>
      </c>
      <c r="C6" s="32" t="s">
        <v>49</v>
      </c>
      <c r="D6" s="33"/>
      <c r="E6" s="34"/>
      <c r="F6" s="18" t="s">
        <v>64</v>
      </c>
      <c r="G6" s="35" t="s">
        <v>65</v>
      </c>
      <c r="H6" s="18" t="s">
        <v>66</v>
      </c>
      <c r="I6" s="36" t="s">
        <v>75</v>
      </c>
      <c r="J6" s="21" t="s">
        <v>61</v>
      </c>
      <c r="K6" s="17"/>
      <c r="L6" s="17"/>
      <c r="M6" s="17"/>
      <c r="N6" s="13">
        <v>1.0</v>
      </c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39">
        <v>0.0</v>
      </c>
    </row>
    <row r="7">
      <c r="A7" s="25"/>
      <c r="B7" s="18" t="s">
        <v>92</v>
      </c>
      <c r="C7" s="32" t="s">
        <v>49</v>
      </c>
      <c r="D7" s="33"/>
      <c r="E7" s="34"/>
      <c r="F7" s="18" t="s">
        <v>64</v>
      </c>
      <c r="G7" s="35" t="s">
        <v>65</v>
      </c>
      <c r="H7" s="18" t="s">
        <v>66</v>
      </c>
      <c r="I7" s="36" t="s">
        <v>75</v>
      </c>
      <c r="J7" s="21" t="s">
        <v>61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13">
        <v>1.0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39">
        <v>0.0</v>
      </c>
    </row>
    <row r="8">
      <c r="A8" s="42"/>
      <c r="B8" s="31" t="s">
        <v>69</v>
      </c>
      <c r="C8" s="10" t="s">
        <v>49</v>
      </c>
      <c r="D8" s="11"/>
      <c r="E8" s="12"/>
      <c r="F8" s="13" t="s">
        <v>71</v>
      </c>
      <c r="G8" s="14" t="s">
        <v>72</v>
      </c>
      <c r="H8" s="13" t="s">
        <v>73</v>
      </c>
      <c r="I8" s="16" t="s">
        <v>51</v>
      </c>
      <c r="J8" s="21" t="s">
        <v>61</v>
      </c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3">
        <v>1.0</v>
      </c>
      <c r="X8" s="17"/>
      <c r="Y8" s="1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18"/>
      <c r="AP8" s="19">
        <v>0.0</v>
      </c>
    </row>
    <row r="9">
      <c r="A9" s="42"/>
      <c r="B9" s="31" t="s">
        <v>105</v>
      </c>
      <c r="C9" s="10" t="s">
        <v>49</v>
      </c>
      <c r="D9" s="11"/>
      <c r="E9" s="12"/>
      <c r="F9" s="13" t="s">
        <v>106</v>
      </c>
      <c r="G9" s="14" t="s">
        <v>107</v>
      </c>
      <c r="H9" s="13" t="s">
        <v>108</v>
      </c>
      <c r="I9" s="16" t="s">
        <v>62</v>
      </c>
      <c r="J9" s="21" t="s">
        <v>61</v>
      </c>
      <c r="K9" s="17"/>
      <c r="L9" s="17"/>
      <c r="M9" s="17"/>
      <c r="N9" s="17"/>
      <c r="O9" s="17"/>
      <c r="P9" s="13">
        <v>1.0</v>
      </c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3">
        <v>1.0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9">
        <v>0.0</v>
      </c>
    </row>
    <row r="10">
      <c r="A10" s="42"/>
      <c r="B10" s="18" t="s">
        <v>110</v>
      </c>
      <c r="C10" s="10" t="s">
        <v>49</v>
      </c>
      <c r="D10" s="11"/>
      <c r="E10" s="12"/>
      <c r="F10" s="13" t="s">
        <v>64</v>
      </c>
      <c r="G10" s="14" t="s">
        <v>65</v>
      </c>
      <c r="H10" s="13" t="s">
        <v>66</v>
      </c>
      <c r="I10" s="16" t="s">
        <v>62</v>
      </c>
      <c r="J10" s="21" t="s">
        <v>61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3">
        <v>1.0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3">
        <v>1.0</v>
      </c>
      <c r="AJ10" s="17"/>
      <c r="AK10" s="17"/>
      <c r="AL10" s="17"/>
      <c r="AM10" s="17"/>
      <c r="AN10" s="17"/>
      <c r="AO10" s="17"/>
      <c r="AP10" s="19">
        <v>0.0</v>
      </c>
    </row>
    <row r="11">
      <c r="A11" s="25"/>
      <c r="B11" s="18" t="s">
        <v>82</v>
      </c>
      <c r="C11" s="10" t="s">
        <v>83</v>
      </c>
      <c r="D11" s="11"/>
      <c r="E11" s="12"/>
      <c r="F11" s="13" t="s">
        <v>84</v>
      </c>
      <c r="G11" s="14" t="s">
        <v>85</v>
      </c>
      <c r="H11" s="13" t="s">
        <v>86</v>
      </c>
      <c r="I11" s="16" t="s">
        <v>51</v>
      </c>
      <c r="J11" s="21" t="s">
        <v>61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3">
        <v>1.0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9">
        <v>0.0</v>
      </c>
    </row>
    <row r="12">
      <c r="A12" s="25"/>
      <c r="B12" s="18" t="s">
        <v>116</v>
      </c>
      <c r="C12" s="10" t="s">
        <v>117</v>
      </c>
      <c r="D12" s="11"/>
      <c r="E12" s="12"/>
      <c r="F12" s="13" t="s">
        <v>118</v>
      </c>
      <c r="G12" s="14" t="s">
        <v>119</v>
      </c>
      <c r="H12" s="13" t="s">
        <v>120</v>
      </c>
      <c r="I12" s="16" t="s">
        <v>75</v>
      </c>
      <c r="J12" s="21" t="s">
        <v>76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9">
        <v>0.0</v>
      </c>
    </row>
    <row r="13">
      <c r="A13" s="25"/>
      <c r="B13" s="18" t="s">
        <v>112</v>
      </c>
      <c r="C13" s="10" t="s">
        <v>49</v>
      </c>
      <c r="D13" s="11"/>
      <c r="E13" s="12"/>
      <c r="F13" s="13" t="s">
        <v>113</v>
      </c>
      <c r="G13" s="14" t="s">
        <v>114</v>
      </c>
      <c r="H13" s="13" t="s">
        <v>123</v>
      </c>
      <c r="I13" s="16" t="s">
        <v>51</v>
      </c>
      <c r="J13" s="21" t="s">
        <v>61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3">
        <v>1.0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9">
        <v>0.0</v>
      </c>
    </row>
    <row r="14">
      <c r="A14" s="49"/>
      <c r="B14" s="31" t="s">
        <v>122</v>
      </c>
      <c r="C14" s="10" t="s">
        <v>49</v>
      </c>
      <c r="D14" s="11"/>
      <c r="E14" s="12"/>
      <c r="F14" s="13" t="s">
        <v>52</v>
      </c>
      <c r="G14" s="14" t="s">
        <v>53</v>
      </c>
      <c r="H14" s="13" t="s">
        <v>54</v>
      </c>
      <c r="I14" s="16" t="s">
        <v>62</v>
      </c>
      <c r="J14" s="21" t="s">
        <v>61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3">
        <v>1.0</v>
      </c>
      <c r="W14" s="17"/>
      <c r="X14" s="17"/>
      <c r="Y14" s="17"/>
      <c r="Z14" s="17"/>
      <c r="AA14" s="17"/>
      <c r="AB14" s="17"/>
      <c r="AC14" s="18">
        <v>1.0</v>
      </c>
      <c r="AD14" s="37"/>
      <c r="AE14" s="37"/>
      <c r="AF14" s="37"/>
      <c r="AG14" s="37"/>
      <c r="AH14" s="37"/>
      <c r="AI14" s="37"/>
      <c r="AJ14" s="37"/>
      <c r="AK14" s="37"/>
      <c r="AL14" s="37"/>
      <c r="AM14" s="18"/>
      <c r="AN14" s="37"/>
      <c r="AO14" s="37"/>
      <c r="AP14" s="19">
        <v>0.0</v>
      </c>
    </row>
    <row r="15">
      <c r="H15" s="50"/>
    </row>
    <row r="16">
      <c r="H16" s="50"/>
    </row>
    <row r="17">
      <c r="H17" s="50"/>
    </row>
    <row r="18">
      <c r="H18" s="50"/>
    </row>
  </sheetData>
  <dataValidations>
    <dataValidation type="list" allowBlank="1" showErrorMessage="1" sqref="I2:I1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4">
      <formula1>"UNIMED SÃO CARLOS,AMIL,PASA,UNIMED GUARULHOS,UNIMED NACIONAL,VIVEST,UNIMED SANTOS"</formula1>
    </dataValidation>
    <dataValidation type="list" allowBlank="1" showErrorMessage="1" sqref="J2:J14">
      <formula1>"Ok,S/A"</formula1>
    </dataValidation>
    <dataValidation type="list" allowBlank="1" showErrorMessage="1" sqref="D2:D14">
      <formula1>"NOVO PACIENTE,READMISSÃO,TROCA,INTENSIFICAÇÃO,DESMAME,COBERTURA,REVEZAMENTO"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10.13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7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21" t="s">
        <v>76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9">
        <v>0.0</v>
      </c>
    </row>
    <row r="3">
      <c r="A3" s="40" t="s">
        <v>60</v>
      </c>
      <c r="B3" s="31" t="s">
        <v>46</v>
      </c>
      <c r="C3" s="32" t="s">
        <v>49</v>
      </c>
      <c r="D3" s="33" t="s">
        <v>109</v>
      </c>
      <c r="E3" s="34">
        <v>46008.0</v>
      </c>
      <c r="F3" s="18" t="s">
        <v>52</v>
      </c>
      <c r="G3" s="35" t="s">
        <v>53</v>
      </c>
      <c r="H3" s="18" t="s">
        <v>54</v>
      </c>
      <c r="I3" s="36" t="s">
        <v>51</v>
      </c>
      <c r="J3" s="21" t="s">
        <v>61</v>
      </c>
      <c r="K3" s="37"/>
      <c r="L3" s="37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53">
        <v>1.0</v>
      </c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39">
        <v>0.0</v>
      </c>
    </row>
    <row r="4">
      <c r="A4" s="41" t="s">
        <v>68</v>
      </c>
      <c r="B4" s="18" t="s">
        <v>87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21" t="s">
        <v>76</v>
      </c>
      <c r="K4" s="17"/>
      <c r="L4" s="17"/>
      <c r="M4" s="17"/>
      <c r="N4" s="13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39">
        <v>0.0</v>
      </c>
    </row>
    <row r="5">
      <c r="A5" s="43" t="s">
        <v>111</v>
      </c>
      <c r="B5" s="18" t="s">
        <v>92</v>
      </c>
      <c r="C5" s="32" t="s">
        <v>49</v>
      </c>
      <c r="D5" s="33"/>
      <c r="E5" s="34"/>
      <c r="F5" s="18" t="s">
        <v>64</v>
      </c>
      <c r="G5" s="35" t="s">
        <v>65</v>
      </c>
      <c r="H5" s="18" t="s">
        <v>66</v>
      </c>
      <c r="I5" s="36" t="s">
        <v>75</v>
      </c>
      <c r="J5" s="21" t="s">
        <v>76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3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39">
        <v>0.0</v>
      </c>
    </row>
    <row r="6">
      <c r="A6" s="55"/>
      <c r="B6" s="31" t="s">
        <v>127</v>
      </c>
      <c r="C6" s="10" t="s">
        <v>49</v>
      </c>
      <c r="D6" s="11"/>
      <c r="E6" s="12"/>
      <c r="F6" s="13" t="s">
        <v>71</v>
      </c>
      <c r="G6" s="14" t="s">
        <v>72</v>
      </c>
      <c r="H6" s="13" t="s">
        <v>73</v>
      </c>
      <c r="I6" s="16" t="s">
        <v>51</v>
      </c>
      <c r="J6" s="21" t="s">
        <v>61</v>
      </c>
      <c r="K6" s="17"/>
      <c r="L6" s="17"/>
      <c r="M6" s="13">
        <v>1.0</v>
      </c>
      <c r="N6" s="17"/>
      <c r="O6" s="17"/>
      <c r="P6" s="17"/>
      <c r="Q6" s="17"/>
      <c r="R6" s="17"/>
      <c r="S6" s="17"/>
      <c r="T6" s="17"/>
      <c r="U6" s="17"/>
      <c r="V6" s="17"/>
      <c r="W6" s="13"/>
      <c r="X6" s="17"/>
      <c r="Y6" s="1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18"/>
      <c r="AP6" s="19">
        <v>0.0</v>
      </c>
    </row>
    <row r="7">
      <c r="A7" s="55" t="s">
        <v>128</v>
      </c>
      <c r="B7" s="31" t="s">
        <v>127</v>
      </c>
      <c r="C7" s="10" t="s">
        <v>49</v>
      </c>
      <c r="D7" s="11" t="s">
        <v>70</v>
      </c>
      <c r="E7" s="12">
        <v>46013.0</v>
      </c>
      <c r="F7" s="13" t="s">
        <v>71</v>
      </c>
      <c r="G7" s="14" t="s">
        <v>72</v>
      </c>
      <c r="H7" s="13" t="s">
        <v>73</v>
      </c>
      <c r="I7" s="16" t="s">
        <v>62</v>
      </c>
      <c r="J7" s="21" t="s">
        <v>61</v>
      </c>
      <c r="K7" s="17"/>
      <c r="L7" s="17"/>
      <c r="M7" s="13"/>
      <c r="N7" s="17"/>
      <c r="O7" s="17"/>
      <c r="P7" s="17"/>
      <c r="Q7" s="17"/>
      <c r="R7" s="17"/>
      <c r="S7" s="17"/>
      <c r="T7" s="17"/>
      <c r="U7" s="17"/>
      <c r="V7" s="17"/>
      <c r="W7" s="13"/>
      <c r="X7" s="17"/>
      <c r="Y7" s="1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18">
        <v>1.0</v>
      </c>
      <c r="AN7" s="37"/>
      <c r="AO7" s="18"/>
      <c r="AP7" s="19">
        <v>0.0</v>
      </c>
    </row>
    <row r="8">
      <c r="A8" s="42" t="s">
        <v>129</v>
      </c>
      <c r="B8" s="31" t="s">
        <v>105</v>
      </c>
      <c r="C8" s="10" t="s">
        <v>49</v>
      </c>
      <c r="D8" s="11"/>
      <c r="E8" s="12"/>
      <c r="F8" s="13" t="s">
        <v>106</v>
      </c>
      <c r="G8" s="14" t="s">
        <v>107</v>
      </c>
      <c r="H8" s="13" t="s">
        <v>108</v>
      </c>
      <c r="I8" s="16" t="s">
        <v>62</v>
      </c>
      <c r="J8" s="21" t="s">
        <v>61</v>
      </c>
      <c r="K8" s="17"/>
      <c r="L8" s="17"/>
      <c r="M8" s="17"/>
      <c r="N8" s="13">
        <v>1.0</v>
      </c>
      <c r="O8" s="17"/>
      <c r="P8" s="13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3">
        <v>1.0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9">
        <v>0.0</v>
      </c>
    </row>
    <row r="9">
      <c r="A9" s="42" t="s">
        <v>129</v>
      </c>
      <c r="B9" s="18" t="s">
        <v>110</v>
      </c>
      <c r="C9" s="10" t="s">
        <v>49</v>
      </c>
      <c r="D9" s="11"/>
      <c r="E9" s="12"/>
      <c r="F9" s="13" t="s">
        <v>64</v>
      </c>
      <c r="G9" s="14" t="s">
        <v>65</v>
      </c>
      <c r="H9" s="13" t="s">
        <v>66</v>
      </c>
      <c r="I9" s="16" t="s">
        <v>62</v>
      </c>
      <c r="J9" s="21" t="s">
        <v>61</v>
      </c>
      <c r="K9" s="17"/>
      <c r="L9" s="17"/>
      <c r="M9" s="17"/>
      <c r="N9" s="17"/>
      <c r="O9" s="17"/>
      <c r="P9" s="13">
        <v>1.0</v>
      </c>
      <c r="Q9" s="17"/>
      <c r="R9" s="17"/>
      <c r="S9" s="17"/>
      <c r="T9" s="17"/>
      <c r="U9" s="13"/>
      <c r="V9" s="17"/>
      <c r="W9" s="17"/>
      <c r="X9" s="17"/>
      <c r="Y9" s="17"/>
      <c r="Z9" s="17"/>
      <c r="AA9" s="17"/>
      <c r="AB9" s="13">
        <v>1.0</v>
      </c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9">
        <v>0.0</v>
      </c>
    </row>
    <row r="10">
      <c r="A10" s="42" t="s">
        <v>128</v>
      </c>
      <c r="B10" s="18" t="s">
        <v>82</v>
      </c>
      <c r="C10" s="10" t="s">
        <v>83</v>
      </c>
      <c r="D10" s="11"/>
      <c r="E10" s="12"/>
      <c r="F10" s="13" t="s">
        <v>84</v>
      </c>
      <c r="G10" s="14" t="s">
        <v>85</v>
      </c>
      <c r="H10" s="13" t="s">
        <v>86</v>
      </c>
      <c r="I10" s="16" t="s">
        <v>51</v>
      </c>
      <c r="J10" s="21" t="s">
        <v>61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3"/>
      <c r="Y10" s="17"/>
      <c r="Z10" s="17"/>
      <c r="AA10" s="17"/>
      <c r="AB10" s="13">
        <v>1.0</v>
      </c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9">
        <v>0.0</v>
      </c>
    </row>
    <row r="11">
      <c r="A11" s="56" t="s">
        <v>130</v>
      </c>
      <c r="B11" s="18" t="s">
        <v>116</v>
      </c>
      <c r="C11" s="10" t="s">
        <v>117</v>
      </c>
      <c r="D11" s="11"/>
      <c r="E11" s="12"/>
      <c r="F11" s="13" t="s">
        <v>118</v>
      </c>
      <c r="G11" s="14" t="s">
        <v>119</v>
      </c>
      <c r="H11" s="13" t="s">
        <v>120</v>
      </c>
      <c r="I11" s="16" t="s">
        <v>75</v>
      </c>
      <c r="J11" s="21" t="s">
        <v>61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3">
        <v>1.0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9">
        <v>0.0</v>
      </c>
    </row>
    <row r="12">
      <c r="A12" s="42" t="s">
        <v>128</v>
      </c>
      <c r="B12" s="18" t="s">
        <v>112</v>
      </c>
      <c r="C12" s="10" t="s">
        <v>49</v>
      </c>
      <c r="D12" s="11"/>
      <c r="E12" s="12"/>
      <c r="F12" s="13" t="s">
        <v>113</v>
      </c>
      <c r="G12" s="14" t="s">
        <v>114</v>
      </c>
      <c r="H12" s="13" t="s">
        <v>123</v>
      </c>
      <c r="I12" s="16" t="s">
        <v>51</v>
      </c>
      <c r="J12" s="21" t="s">
        <v>61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3">
        <v>1.0</v>
      </c>
      <c r="V12" s="17"/>
      <c r="W12" s="13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9">
        <v>0.0</v>
      </c>
    </row>
    <row r="13">
      <c r="A13" s="49" t="s">
        <v>128</v>
      </c>
      <c r="B13" s="31" t="s">
        <v>122</v>
      </c>
      <c r="C13" s="10" t="s">
        <v>49</v>
      </c>
      <c r="D13" s="11"/>
      <c r="E13" s="12"/>
      <c r="F13" s="13" t="s">
        <v>52</v>
      </c>
      <c r="G13" s="14" t="s">
        <v>53</v>
      </c>
      <c r="H13" s="13" t="s">
        <v>54</v>
      </c>
      <c r="I13" s="16" t="s">
        <v>62</v>
      </c>
      <c r="J13" s="21" t="s">
        <v>61</v>
      </c>
      <c r="K13" s="17"/>
      <c r="L13" s="17"/>
      <c r="M13" s="17"/>
      <c r="N13" s="17"/>
      <c r="O13" s="17"/>
      <c r="P13" s="17"/>
      <c r="Q13" s="17"/>
      <c r="R13" s="17"/>
      <c r="S13" s="17"/>
      <c r="T13" s="13">
        <v>1.0</v>
      </c>
      <c r="U13" s="17"/>
      <c r="V13" s="13"/>
      <c r="W13" s="17"/>
      <c r="X13" s="17"/>
      <c r="Y13" s="17"/>
      <c r="Z13" s="17"/>
      <c r="AA13" s="17"/>
      <c r="AB13" s="13">
        <v>1.0</v>
      </c>
      <c r="AC13" s="18"/>
      <c r="AD13" s="37"/>
      <c r="AE13" s="37"/>
      <c r="AF13" s="37"/>
      <c r="AG13" s="37"/>
      <c r="AH13" s="37"/>
      <c r="AI13" s="37"/>
      <c r="AJ13" s="37"/>
      <c r="AK13" s="37"/>
      <c r="AL13" s="37"/>
      <c r="AM13" s="18"/>
      <c r="AN13" s="37"/>
      <c r="AO13" s="37"/>
      <c r="AP13" s="19">
        <v>0.0</v>
      </c>
    </row>
    <row r="14">
      <c r="H14" s="50"/>
    </row>
    <row r="15">
      <c r="B15" s="58" t="s">
        <v>132</v>
      </c>
      <c r="H15" s="50"/>
    </row>
    <row r="16">
      <c r="H16" s="50"/>
    </row>
    <row r="17">
      <c r="H17" s="50"/>
    </row>
  </sheetData>
  <dataValidations>
    <dataValidation type="list" allowBlank="1" showErrorMessage="1" sqref="I2:I1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3">
      <formula1>"UNIMED SÃO CARLOS,AMIL,PASA,UNIMED GUARULHOS,UNIMED NACIONAL,VIVEST,UNIMED SANTOS"</formula1>
    </dataValidation>
    <dataValidation type="list" allowBlank="1" showErrorMessage="1" sqref="J2:J13">
      <formula1>"Ok,S/A"</formula1>
    </dataValidation>
    <dataValidation type="list" allowBlank="1" showErrorMessage="1" sqref="D2:D13">
      <formula1>"NOVO PACIENTE,READMISSÃO,TROCA,INTENSIFICAÇÃO,DESMAME,COBERTURA,REVEZAMENTO"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75"/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9.38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61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3">
        <v>1.0</v>
      </c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9">
        <v>0.0</v>
      </c>
    </row>
    <row r="3">
      <c r="A3" s="40" t="s">
        <v>60</v>
      </c>
      <c r="B3" s="31" t="s">
        <v>46</v>
      </c>
      <c r="C3" s="32" t="s">
        <v>49</v>
      </c>
      <c r="D3" s="33"/>
      <c r="E3" s="34"/>
      <c r="F3" s="18" t="s">
        <v>52</v>
      </c>
      <c r="G3" s="35" t="s">
        <v>53</v>
      </c>
      <c r="H3" s="18" t="s">
        <v>54</v>
      </c>
      <c r="I3" s="36" t="s">
        <v>51</v>
      </c>
      <c r="J3" s="54" t="s">
        <v>61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3">
        <v>1.0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39">
        <v>0.0</v>
      </c>
    </row>
    <row r="4">
      <c r="A4" s="41" t="s">
        <v>68</v>
      </c>
      <c r="B4" s="18" t="s">
        <v>87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61</v>
      </c>
      <c r="K4" s="17"/>
      <c r="L4" s="17"/>
      <c r="M4" s="17"/>
      <c r="N4" s="17"/>
      <c r="O4" s="17"/>
      <c r="P4" s="17"/>
      <c r="Q4" s="17"/>
      <c r="R4" s="17"/>
      <c r="S4" s="17"/>
      <c r="T4" s="13">
        <v>1.0</v>
      </c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39">
        <v>0.0</v>
      </c>
    </row>
    <row r="5">
      <c r="A5" s="43" t="s">
        <v>111</v>
      </c>
      <c r="B5" s="18" t="s">
        <v>92</v>
      </c>
      <c r="C5" s="32" t="s">
        <v>49</v>
      </c>
      <c r="D5" s="33"/>
      <c r="E5" s="34"/>
      <c r="F5" s="18" t="s">
        <v>64</v>
      </c>
      <c r="G5" s="35" t="s">
        <v>65</v>
      </c>
      <c r="H5" s="18" t="s">
        <v>66</v>
      </c>
      <c r="I5" s="36" t="s">
        <v>75</v>
      </c>
      <c r="J5" s="54" t="s">
        <v>61</v>
      </c>
      <c r="K5" s="17"/>
      <c r="L5" s="17"/>
      <c r="M5" s="13">
        <v>1.0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39">
        <v>0.0</v>
      </c>
    </row>
    <row r="6">
      <c r="A6" s="55" t="s">
        <v>104</v>
      </c>
      <c r="B6" s="31" t="s">
        <v>127</v>
      </c>
      <c r="C6" s="10" t="s">
        <v>49</v>
      </c>
      <c r="D6" s="11"/>
      <c r="E6" s="12"/>
      <c r="F6" s="13" t="s">
        <v>71</v>
      </c>
      <c r="G6" s="14" t="s">
        <v>72</v>
      </c>
      <c r="H6" s="13" t="s">
        <v>73</v>
      </c>
      <c r="I6" s="16" t="s">
        <v>62</v>
      </c>
      <c r="J6" s="54" t="s">
        <v>61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3">
        <v>1.0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3">
        <v>1.0</v>
      </c>
      <c r="AL6" s="17"/>
      <c r="AM6" s="17"/>
      <c r="AN6" s="17"/>
      <c r="AO6" s="17"/>
      <c r="AP6" s="19">
        <v>0.0</v>
      </c>
    </row>
    <row r="7">
      <c r="A7" s="42" t="s">
        <v>104</v>
      </c>
      <c r="B7" s="31" t="s">
        <v>105</v>
      </c>
      <c r="C7" s="10" t="s">
        <v>49</v>
      </c>
      <c r="D7" s="11"/>
      <c r="E7" s="12"/>
      <c r="F7" s="13" t="s">
        <v>106</v>
      </c>
      <c r="G7" s="14" t="s">
        <v>107</v>
      </c>
      <c r="H7" s="13" t="s">
        <v>108</v>
      </c>
      <c r="I7" s="16" t="s">
        <v>62</v>
      </c>
      <c r="J7" s="54" t="s">
        <v>61</v>
      </c>
      <c r="K7" s="17"/>
      <c r="L7" s="17"/>
      <c r="M7" s="17"/>
      <c r="N7" s="17"/>
      <c r="O7" s="17"/>
      <c r="P7" s="17"/>
      <c r="Q7" s="17"/>
      <c r="R7" s="13">
        <v>1.0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3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9">
        <v>0.0</v>
      </c>
    </row>
    <row r="8">
      <c r="A8" s="42" t="s">
        <v>104</v>
      </c>
      <c r="B8" s="18" t="s">
        <v>110</v>
      </c>
      <c r="C8" s="10" t="s">
        <v>49</v>
      </c>
      <c r="D8" s="11"/>
      <c r="E8" s="12"/>
      <c r="F8" s="13" t="s">
        <v>64</v>
      </c>
      <c r="G8" s="14" t="s">
        <v>65</v>
      </c>
      <c r="H8" s="13" t="s">
        <v>66</v>
      </c>
      <c r="I8" s="16" t="s">
        <v>62</v>
      </c>
      <c r="J8" s="54" t="s">
        <v>61</v>
      </c>
      <c r="K8" s="17"/>
      <c r="L8" s="17"/>
      <c r="M8" s="13">
        <v>1.0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3">
        <v>1.0</v>
      </c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9">
        <v>0.0</v>
      </c>
    </row>
    <row r="9">
      <c r="A9" s="42"/>
      <c r="B9" s="18" t="s">
        <v>82</v>
      </c>
      <c r="C9" s="10" t="s">
        <v>83</v>
      </c>
      <c r="D9" s="11"/>
      <c r="E9" s="12"/>
      <c r="F9" s="13" t="s">
        <v>84</v>
      </c>
      <c r="G9" s="14" t="s">
        <v>85</v>
      </c>
      <c r="H9" s="13" t="s">
        <v>86</v>
      </c>
      <c r="I9" s="16" t="s">
        <v>51</v>
      </c>
      <c r="J9" s="54" t="s">
        <v>61</v>
      </c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3">
        <v>1.0</v>
      </c>
      <c r="AG9" s="17"/>
      <c r="AH9" s="17"/>
      <c r="AI9" s="17"/>
      <c r="AJ9" s="17"/>
      <c r="AK9" s="17"/>
      <c r="AL9" s="17"/>
      <c r="AM9" s="17"/>
      <c r="AN9" s="17"/>
      <c r="AO9" s="17"/>
      <c r="AP9" s="19">
        <v>0.0</v>
      </c>
    </row>
    <row r="10">
      <c r="A10" s="56"/>
      <c r="B10" s="18" t="s">
        <v>116</v>
      </c>
      <c r="C10" s="10" t="s">
        <v>117</v>
      </c>
      <c r="D10" s="11"/>
      <c r="E10" s="12"/>
      <c r="F10" s="13" t="s">
        <v>118</v>
      </c>
      <c r="G10" s="14" t="s">
        <v>119</v>
      </c>
      <c r="H10" s="13" t="s">
        <v>120</v>
      </c>
      <c r="I10" s="16" t="s">
        <v>75</v>
      </c>
      <c r="J10" s="54" t="s">
        <v>76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9">
        <v>0.0</v>
      </c>
    </row>
    <row r="11">
      <c r="A11" s="42"/>
      <c r="B11" s="18" t="s">
        <v>112</v>
      </c>
      <c r="C11" s="10" t="s">
        <v>49</v>
      </c>
      <c r="D11" s="11"/>
      <c r="E11" s="12"/>
      <c r="F11" s="13" t="s">
        <v>113</v>
      </c>
      <c r="G11" s="14" t="s">
        <v>114</v>
      </c>
      <c r="H11" s="13" t="s">
        <v>123</v>
      </c>
      <c r="I11" s="16" t="s">
        <v>51</v>
      </c>
      <c r="J11" s="54" t="s">
        <v>61</v>
      </c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3">
        <v>1.0</v>
      </c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9">
        <v>0.0</v>
      </c>
    </row>
    <row r="12">
      <c r="A12" s="49" t="s">
        <v>104</v>
      </c>
      <c r="B12" s="31" t="s">
        <v>122</v>
      </c>
      <c r="C12" s="10" t="s">
        <v>49</v>
      </c>
      <c r="D12" s="11"/>
      <c r="E12" s="12"/>
      <c r="F12" s="13" t="s">
        <v>52</v>
      </c>
      <c r="G12" s="14" t="s">
        <v>53</v>
      </c>
      <c r="H12" s="13" t="s">
        <v>54</v>
      </c>
      <c r="I12" s="16" t="s">
        <v>62</v>
      </c>
      <c r="J12" s="54" t="s">
        <v>61</v>
      </c>
      <c r="K12" s="17"/>
      <c r="L12" s="17"/>
      <c r="M12" s="17"/>
      <c r="N12" s="17"/>
      <c r="O12" s="17"/>
      <c r="P12" s="17"/>
      <c r="Q12" s="13">
        <v>1.0</v>
      </c>
      <c r="R12" s="17"/>
      <c r="S12" s="17"/>
      <c r="T12" s="17"/>
      <c r="U12" s="17"/>
      <c r="V12" s="17"/>
      <c r="W12" s="17"/>
      <c r="X12" s="17"/>
      <c r="Y12" s="13">
        <v>1.0</v>
      </c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9">
        <v>0.0</v>
      </c>
    </row>
    <row r="13">
      <c r="H13" s="50"/>
      <c r="J13" s="57"/>
    </row>
    <row r="14">
      <c r="H14" s="50"/>
      <c r="J14" s="57"/>
    </row>
    <row r="15">
      <c r="H15" s="50"/>
      <c r="J15" s="57"/>
    </row>
    <row r="16">
      <c r="H16" s="50"/>
      <c r="J16" s="57"/>
    </row>
  </sheetData>
  <dataValidations>
    <dataValidation type="list" allowBlank="1" showErrorMessage="1" sqref="I2:I1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2">
      <formula1>"UNIMED SÃO CARLOS,AMIL,PASA,UNIMED GUARULHOS,UNIMED NACIONAL,VIVEST,UNIMED SANTOS"</formula1>
    </dataValidation>
    <dataValidation type="list" allowBlank="1" showErrorMessage="1" sqref="J2:J12">
      <formula1>"Ok,S/A"</formula1>
    </dataValidation>
    <dataValidation type="list" allowBlank="1" showErrorMessage="1" sqref="D2:D12">
      <formula1>"NOVO PACIENTE,READMISSÃO,TROCA,INTENSIFICAÇÃO,DESMAME,COBERTURA,REVEZAMENTO"</formula1>
    </dataValidation>
  </dataValidation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75"/>
    <col customWidth="1" min="2" max="2" width="39.75"/>
    <col customWidth="1" min="3" max="3" width="20.88"/>
    <col customWidth="1" min="4" max="4" width="17.38"/>
    <col customWidth="1" min="6" max="6" width="24.88"/>
    <col customWidth="1" min="7" max="7" width="27.25"/>
    <col customWidth="1" min="8" max="8" width="12.38"/>
    <col customWidth="1" min="9" max="9" width="15.38"/>
    <col customWidth="1" min="10" max="10" width="9.38"/>
    <col customWidth="1" min="11" max="41" width="3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76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18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19">
        <v>0.0</v>
      </c>
    </row>
    <row r="3">
      <c r="A3" s="40" t="s">
        <v>60</v>
      </c>
      <c r="B3" s="30" t="s">
        <v>46</v>
      </c>
      <c r="C3" s="32" t="s">
        <v>49</v>
      </c>
      <c r="D3" s="33"/>
      <c r="E3" s="34"/>
      <c r="F3" s="18" t="s">
        <v>52</v>
      </c>
      <c r="G3" s="35" t="s">
        <v>53</v>
      </c>
      <c r="H3" s="18" t="s">
        <v>54</v>
      </c>
      <c r="I3" s="36" t="s">
        <v>51</v>
      </c>
      <c r="J3" s="54" t="s">
        <v>61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18">
        <v>1.0</v>
      </c>
      <c r="W3" s="37"/>
      <c r="X3" s="37"/>
      <c r="Y3" s="18"/>
      <c r="Z3" s="37"/>
      <c r="AA3" s="37"/>
      <c r="AB3" s="37"/>
      <c r="AC3" s="37"/>
      <c r="AD3" s="37"/>
      <c r="AE3" s="37"/>
      <c r="AF3" s="37"/>
      <c r="AG3" s="48"/>
      <c r="AH3" s="48"/>
      <c r="AI3" s="48"/>
      <c r="AJ3" s="48"/>
      <c r="AK3" s="48"/>
      <c r="AL3" s="48"/>
      <c r="AM3" s="48"/>
      <c r="AN3" s="48"/>
      <c r="AO3" s="48"/>
      <c r="AP3" s="39">
        <f t="shared" ref="AP3:AP12" si="1">SUM(K3:AO3)</f>
        <v>1</v>
      </c>
    </row>
    <row r="4">
      <c r="A4" s="41" t="s">
        <v>68</v>
      </c>
      <c r="B4" s="18" t="s">
        <v>87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61</v>
      </c>
      <c r="K4" s="37"/>
      <c r="L4" s="37"/>
      <c r="M4" s="37"/>
      <c r="N4" s="37"/>
      <c r="O4" s="37"/>
      <c r="P4" s="37"/>
      <c r="Q4" s="37"/>
      <c r="R4" s="37"/>
      <c r="S4" s="37"/>
      <c r="T4" s="1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18">
        <v>1.0</v>
      </c>
      <c r="AI4" s="37"/>
      <c r="AJ4" s="37"/>
      <c r="AK4" s="37"/>
      <c r="AL4" s="37"/>
      <c r="AM4" s="37"/>
      <c r="AN4" s="37"/>
      <c r="AO4" s="37"/>
      <c r="AP4" s="39">
        <f t="shared" si="1"/>
        <v>1</v>
      </c>
    </row>
    <row r="5">
      <c r="A5" s="43" t="s">
        <v>111</v>
      </c>
      <c r="B5" s="18" t="s">
        <v>92</v>
      </c>
      <c r="C5" s="32" t="s">
        <v>49</v>
      </c>
      <c r="D5" s="33"/>
      <c r="E5" s="34"/>
      <c r="F5" s="18" t="s">
        <v>64</v>
      </c>
      <c r="G5" s="35" t="s">
        <v>65</v>
      </c>
      <c r="H5" s="18" t="s">
        <v>66</v>
      </c>
      <c r="I5" s="36" t="s">
        <v>75</v>
      </c>
      <c r="J5" s="54" t="s">
        <v>76</v>
      </c>
      <c r="K5" s="37"/>
      <c r="L5" s="37"/>
      <c r="M5" s="18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9">
        <f t="shared" si="1"/>
        <v>0</v>
      </c>
    </row>
    <row r="6">
      <c r="A6" s="55" t="s">
        <v>128</v>
      </c>
      <c r="B6" s="31" t="s">
        <v>127</v>
      </c>
      <c r="C6" s="10" t="s">
        <v>49</v>
      </c>
      <c r="D6" s="11"/>
      <c r="E6" s="12"/>
      <c r="F6" s="13" t="s">
        <v>71</v>
      </c>
      <c r="G6" s="14" t="s">
        <v>72</v>
      </c>
      <c r="H6" s="13" t="s">
        <v>73</v>
      </c>
      <c r="I6" s="16" t="s">
        <v>62</v>
      </c>
      <c r="J6" s="54" t="s">
        <v>61</v>
      </c>
      <c r="K6" s="37"/>
      <c r="L6" s="37"/>
      <c r="M6" s="37"/>
      <c r="N6" s="37"/>
      <c r="O6" s="37"/>
      <c r="P6" s="37"/>
      <c r="Q6" s="37"/>
      <c r="R6" s="37"/>
      <c r="S6" s="37"/>
      <c r="T6" s="18">
        <v>1.0</v>
      </c>
      <c r="U6" s="37"/>
      <c r="V6" s="37"/>
      <c r="W6" s="37"/>
      <c r="X6" s="18"/>
      <c r="Y6" s="37"/>
      <c r="Z6" s="37"/>
      <c r="AA6" s="37"/>
      <c r="AB6" s="37"/>
      <c r="AC6" s="37"/>
      <c r="AD6" s="37"/>
      <c r="AE6" s="37"/>
      <c r="AF6" s="37"/>
      <c r="AG6" s="37"/>
      <c r="AH6" s="18">
        <v>1.0</v>
      </c>
      <c r="AI6" s="37"/>
      <c r="AJ6" s="37"/>
      <c r="AK6" s="18"/>
      <c r="AL6" s="37"/>
      <c r="AM6" s="37"/>
      <c r="AN6" s="37"/>
      <c r="AO6" s="37"/>
      <c r="AP6" s="39">
        <f t="shared" si="1"/>
        <v>2</v>
      </c>
    </row>
    <row r="7">
      <c r="A7" s="42" t="s">
        <v>128</v>
      </c>
      <c r="B7" s="31" t="s">
        <v>105</v>
      </c>
      <c r="C7" s="10" t="s">
        <v>49</v>
      </c>
      <c r="D7" s="11"/>
      <c r="E7" s="12"/>
      <c r="F7" s="13" t="s">
        <v>106</v>
      </c>
      <c r="G7" s="14" t="s">
        <v>107</v>
      </c>
      <c r="H7" s="13" t="s">
        <v>108</v>
      </c>
      <c r="I7" s="16" t="s">
        <v>62</v>
      </c>
      <c r="J7" s="54" t="s">
        <v>61</v>
      </c>
      <c r="K7" s="37"/>
      <c r="L7" s="37"/>
      <c r="M7" s="37"/>
      <c r="N7" s="37"/>
      <c r="O7" s="37"/>
      <c r="P7" s="37"/>
      <c r="Q7" s="37"/>
      <c r="R7" s="18"/>
      <c r="S7" s="37"/>
      <c r="T7" s="37"/>
      <c r="U7" s="37"/>
      <c r="V7" s="18">
        <v>1.0</v>
      </c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18">
        <v>1.0</v>
      </c>
      <c r="AJ7" s="37"/>
      <c r="AK7" s="37"/>
      <c r="AL7" s="37"/>
      <c r="AM7" s="37"/>
      <c r="AN7" s="37"/>
      <c r="AO7" s="37"/>
      <c r="AP7" s="39">
        <f t="shared" si="1"/>
        <v>2</v>
      </c>
    </row>
    <row r="8">
      <c r="A8" s="42" t="s">
        <v>128</v>
      </c>
      <c r="B8" s="18" t="s">
        <v>110</v>
      </c>
      <c r="C8" s="10" t="s">
        <v>49</v>
      </c>
      <c r="D8" s="11"/>
      <c r="E8" s="12"/>
      <c r="F8" s="13" t="s">
        <v>64</v>
      </c>
      <c r="G8" s="14" t="s">
        <v>65</v>
      </c>
      <c r="H8" s="13" t="s">
        <v>66</v>
      </c>
      <c r="I8" s="16" t="s">
        <v>62</v>
      </c>
      <c r="J8" s="54" t="s">
        <v>61</v>
      </c>
      <c r="K8" s="37"/>
      <c r="L8" s="37"/>
      <c r="M8" s="18"/>
      <c r="N8" s="37"/>
      <c r="O8" s="37"/>
      <c r="P8" s="37"/>
      <c r="Q8" s="37"/>
      <c r="R8" s="37"/>
      <c r="S8" s="37"/>
      <c r="T8" s="37"/>
      <c r="U8" s="18">
        <v>1.0</v>
      </c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18">
        <v>1.0</v>
      </c>
      <c r="AJ8" s="37"/>
      <c r="AK8" s="37"/>
      <c r="AL8" s="37"/>
      <c r="AM8" s="37"/>
      <c r="AN8" s="37"/>
      <c r="AO8" s="37"/>
      <c r="AP8" s="39">
        <f t="shared" si="1"/>
        <v>2</v>
      </c>
    </row>
    <row r="9">
      <c r="A9" s="42" t="s">
        <v>128</v>
      </c>
      <c r="B9" s="18" t="s">
        <v>82</v>
      </c>
      <c r="C9" s="10" t="s">
        <v>83</v>
      </c>
      <c r="D9" s="11"/>
      <c r="E9" s="12"/>
      <c r="F9" s="13" t="s">
        <v>84</v>
      </c>
      <c r="G9" s="14" t="s">
        <v>85</v>
      </c>
      <c r="H9" s="13" t="s">
        <v>86</v>
      </c>
      <c r="I9" s="16" t="s">
        <v>51</v>
      </c>
      <c r="J9" s="54" t="s">
        <v>61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18">
        <v>1.0</v>
      </c>
      <c r="AA9" s="37"/>
      <c r="AB9" s="37"/>
      <c r="AC9" s="37"/>
      <c r="AD9" s="37"/>
      <c r="AE9" s="37"/>
      <c r="AF9" s="18"/>
      <c r="AG9" s="37"/>
      <c r="AH9" s="37"/>
      <c r="AI9" s="37"/>
      <c r="AJ9" s="37"/>
      <c r="AK9" s="37"/>
      <c r="AL9" s="37"/>
      <c r="AM9" s="37"/>
      <c r="AN9" s="37"/>
      <c r="AO9" s="37"/>
      <c r="AP9" s="39">
        <f t="shared" si="1"/>
        <v>1</v>
      </c>
    </row>
    <row r="10">
      <c r="A10" s="42" t="s">
        <v>128</v>
      </c>
      <c r="B10" s="18" t="s">
        <v>116</v>
      </c>
      <c r="C10" s="10" t="s">
        <v>117</v>
      </c>
      <c r="D10" s="11"/>
      <c r="E10" s="12"/>
      <c r="F10" s="13" t="s">
        <v>118</v>
      </c>
      <c r="G10" s="14" t="s">
        <v>119</v>
      </c>
      <c r="H10" s="13" t="s">
        <v>120</v>
      </c>
      <c r="I10" s="16" t="s">
        <v>75</v>
      </c>
      <c r="J10" s="54" t="s">
        <v>61</v>
      </c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18">
        <v>1.0</v>
      </c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9">
        <f t="shared" si="1"/>
        <v>1</v>
      </c>
    </row>
    <row r="11">
      <c r="A11" s="42"/>
      <c r="B11" s="18" t="s">
        <v>112</v>
      </c>
      <c r="C11" s="10" t="s">
        <v>49</v>
      </c>
      <c r="D11" s="11"/>
      <c r="E11" s="12"/>
      <c r="F11" s="13" t="s">
        <v>113</v>
      </c>
      <c r="G11" s="14" t="s">
        <v>114</v>
      </c>
      <c r="H11" s="13" t="s">
        <v>123</v>
      </c>
      <c r="I11" s="16" t="s">
        <v>51</v>
      </c>
      <c r="J11" s="54" t="s">
        <v>61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18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18">
        <v>1.0</v>
      </c>
      <c r="AK11" s="37"/>
      <c r="AL11" s="37"/>
      <c r="AM11" s="37"/>
      <c r="AN11" s="37"/>
      <c r="AO11" s="37"/>
      <c r="AP11" s="39">
        <f t="shared" si="1"/>
        <v>1</v>
      </c>
    </row>
    <row r="12">
      <c r="A12" s="49" t="s">
        <v>128</v>
      </c>
      <c r="B12" s="31" t="s">
        <v>122</v>
      </c>
      <c r="C12" s="10" t="s">
        <v>49</v>
      </c>
      <c r="D12" s="11"/>
      <c r="E12" s="12"/>
      <c r="F12" s="13" t="s">
        <v>52</v>
      </c>
      <c r="G12" s="14" t="s">
        <v>53</v>
      </c>
      <c r="H12" s="13" t="s">
        <v>54</v>
      </c>
      <c r="I12" s="16" t="s">
        <v>62</v>
      </c>
      <c r="J12" s="54" t="s">
        <v>61</v>
      </c>
      <c r="K12" s="37"/>
      <c r="L12" s="37"/>
      <c r="M12" s="37"/>
      <c r="N12" s="37"/>
      <c r="O12" s="37"/>
      <c r="P12" s="18">
        <v>1.0</v>
      </c>
      <c r="Q12" s="18"/>
      <c r="R12" s="37"/>
      <c r="S12" s="37"/>
      <c r="T12" s="37"/>
      <c r="U12" s="37"/>
      <c r="V12" s="37"/>
      <c r="W12" s="37"/>
      <c r="X12" s="37"/>
      <c r="Y12" s="18"/>
      <c r="Z12" s="37"/>
      <c r="AA12" s="37"/>
      <c r="AB12" s="37"/>
      <c r="AC12" s="37"/>
      <c r="AD12" s="18">
        <v>1.0</v>
      </c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9">
        <f t="shared" si="1"/>
        <v>2</v>
      </c>
    </row>
    <row r="13">
      <c r="H13" s="50"/>
      <c r="J13" s="57"/>
      <c r="AP13" s="67">
        <f>SUM(AP2:AP12)</f>
        <v>13</v>
      </c>
    </row>
    <row r="14">
      <c r="H14" s="50"/>
      <c r="J14" s="57"/>
    </row>
    <row r="15">
      <c r="H15" s="50"/>
      <c r="J15" s="57"/>
    </row>
    <row r="16">
      <c r="H16" s="50"/>
      <c r="J16" s="57"/>
    </row>
  </sheetData>
  <dataValidations>
    <dataValidation type="list" allowBlank="1" showErrorMessage="1" sqref="I2:I1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2">
      <formula1>"UNIMED SÃO CARLOS,AMIL,PASA,UNIMED GUARULHOS,UNIMED NACIONAL,VIVEST,UNIMED SANTOS"</formula1>
    </dataValidation>
    <dataValidation type="list" allowBlank="1" showErrorMessage="1" sqref="J2:J12">
      <formula1>"Ok,S/A"</formula1>
    </dataValidation>
    <dataValidation type="list" allowBlank="1" showErrorMessage="1" sqref="D2:D12">
      <formula1>"NOVO PACIENTE,READMISSÃO,TROCA,INTENSIFICAÇÃO,DESMAME,COBERTURA,REVEZAMENTO"</formula1>
    </dataValidation>
  </dataValidation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38"/>
    <col customWidth="1" min="3" max="3" width="22.5"/>
    <col customWidth="1" min="4" max="4" width="20.13"/>
    <col customWidth="1" min="6" max="6" width="26.5"/>
    <col customWidth="1" min="7" max="7" width="31.63"/>
    <col customWidth="1" min="8" max="8" width="16.0"/>
    <col customWidth="1" min="9" max="9" width="18.5"/>
    <col customWidth="1" min="10" max="10" width="8.5"/>
    <col customWidth="1" min="11" max="42" width="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 t="s">
        <v>20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</row>
    <row r="2">
      <c r="A2" s="38" t="s">
        <v>42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76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18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19">
        <v>0.0</v>
      </c>
    </row>
    <row r="3">
      <c r="A3" s="41" t="s">
        <v>68</v>
      </c>
      <c r="B3" s="18" t="s">
        <v>87</v>
      </c>
      <c r="C3" s="32" t="s">
        <v>49</v>
      </c>
      <c r="D3" s="33"/>
      <c r="E3" s="34"/>
      <c r="F3" s="18" t="s">
        <v>64</v>
      </c>
      <c r="G3" s="35" t="s">
        <v>65</v>
      </c>
      <c r="H3" s="18" t="s">
        <v>66</v>
      </c>
      <c r="I3" s="36" t="s">
        <v>75</v>
      </c>
      <c r="J3" s="54" t="s">
        <v>76</v>
      </c>
      <c r="K3" s="37"/>
      <c r="L3" s="37"/>
      <c r="M3" s="37"/>
      <c r="N3" s="37"/>
      <c r="O3" s="37"/>
      <c r="P3" s="37"/>
      <c r="Q3" s="37"/>
      <c r="R3" s="37"/>
      <c r="S3" s="37"/>
      <c r="T3" s="18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37"/>
      <c r="AM3" s="37"/>
      <c r="AN3" s="37"/>
      <c r="AO3" s="37"/>
      <c r="AP3" s="39">
        <v>0.0</v>
      </c>
    </row>
    <row r="4">
      <c r="A4" s="43" t="s">
        <v>111</v>
      </c>
      <c r="B4" s="18" t="s">
        <v>131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61</v>
      </c>
      <c r="K4" s="37"/>
      <c r="L4" s="37"/>
      <c r="M4" s="18"/>
      <c r="N4" s="37"/>
      <c r="O4" s="37"/>
      <c r="P4" s="37"/>
      <c r="Q4" s="37"/>
      <c r="R4" s="37"/>
      <c r="S4" s="37"/>
      <c r="T4" s="37"/>
      <c r="U4" s="18">
        <v>1.0</v>
      </c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9">
        <v>0.0</v>
      </c>
    </row>
    <row r="5">
      <c r="A5" s="55" t="s">
        <v>133</v>
      </c>
      <c r="B5" s="31" t="s">
        <v>127</v>
      </c>
      <c r="C5" s="10" t="s">
        <v>49</v>
      </c>
      <c r="D5" s="11"/>
      <c r="E5" s="12"/>
      <c r="F5" s="13" t="s">
        <v>71</v>
      </c>
      <c r="G5" s="14" t="s">
        <v>72</v>
      </c>
      <c r="H5" s="13" t="s">
        <v>73</v>
      </c>
      <c r="I5" s="16" t="s">
        <v>62</v>
      </c>
      <c r="J5" s="54" t="s">
        <v>61</v>
      </c>
      <c r="K5" s="37"/>
      <c r="L5" s="37"/>
      <c r="M5" s="37"/>
      <c r="N5" s="37"/>
      <c r="O5" s="37"/>
      <c r="P5" s="37"/>
      <c r="Q5" s="37"/>
      <c r="R5" s="37"/>
      <c r="S5" s="37"/>
      <c r="T5" s="18">
        <v>1.0</v>
      </c>
      <c r="U5" s="37"/>
      <c r="V5" s="37"/>
      <c r="W5" s="37"/>
      <c r="X5" s="18"/>
      <c r="Y5" s="37"/>
      <c r="Z5" s="37"/>
      <c r="AA5" s="37"/>
      <c r="AB5" s="37"/>
      <c r="AC5" s="37"/>
      <c r="AD5" s="37"/>
      <c r="AE5" s="37"/>
      <c r="AF5" s="37"/>
      <c r="AG5" s="37"/>
      <c r="AH5" s="18">
        <v>1.0</v>
      </c>
      <c r="AI5" s="37"/>
      <c r="AJ5" s="37"/>
      <c r="AK5" s="18"/>
      <c r="AL5" s="37"/>
      <c r="AM5" s="37"/>
      <c r="AN5" s="37"/>
      <c r="AO5" s="37"/>
      <c r="AP5" s="19">
        <v>0.0</v>
      </c>
    </row>
    <row r="6">
      <c r="A6" s="42" t="s">
        <v>133</v>
      </c>
      <c r="B6" s="31" t="s">
        <v>135</v>
      </c>
      <c r="C6" s="10" t="s">
        <v>83</v>
      </c>
      <c r="D6" s="11" t="s">
        <v>45</v>
      </c>
      <c r="E6" s="12">
        <v>46106.0</v>
      </c>
      <c r="F6" s="13" t="s">
        <v>136</v>
      </c>
      <c r="G6" s="14" t="s">
        <v>137</v>
      </c>
      <c r="H6" s="13" t="s">
        <v>138</v>
      </c>
      <c r="I6" s="16" t="s">
        <v>51</v>
      </c>
      <c r="J6" s="54" t="s">
        <v>61</v>
      </c>
      <c r="K6" s="37"/>
      <c r="L6" s="37"/>
      <c r="M6" s="37"/>
      <c r="N6" s="37"/>
      <c r="O6" s="37"/>
      <c r="P6" s="37"/>
      <c r="Q6" s="37"/>
      <c r="R6" s="18"/>
      <c r="S6" s="37"/>
      <c r="T6" s="37"/>
      <c r="U6" s="37"/>
      <c r="V6" s="18"/>
      <c r="W6" s="18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18"/>
      <c r="AJ6" s="18">
        <v>1.0</v>
      </c>
      <c r="AK6" s="37"/>
      <c r="AL6" s="37"/>
      <c r="AM6" s="37"/>
      <c r="AN6" s="37"/>
      <c r="AO6" s="37"/>
      <c r="AP6" s="19"/>
    </row>
    <row r="7">
      <c r="A7" s="42" t="s">
        <v>133</v>
      </c>
      <c r="B7" s="31" t="s">
        <v>139</v>
      </c>
      <c r="C7" s="10" t="s">
        <v>117</v>
      </c>
      <c r="D7" s="11" t="s">
        <v>45</v>
      </c>
      <c r="E7" s="12">
        <v>45726.0</v>
      </c>
      <c r="F7" s="13" t="s">
        <v>140</v>
      </c>
      <c r="G7" s="14" t="s">
        <v>141</v>
      </c>
      <c r="H7" s="13" t="s">
        <v>142</v>
      </c>
      <c r="I7" s="16" t="s">
        <v>75</v>
      </c>
      <c r="J7" s="54" t="s">
        <v>61</v>
      </c>
      <c r="K7" s="37"/>
      <c r="L7" s="37"/>
      <c r="M7" s="37"/>
      <c r="N7" s="37"/>
      <c r="O7" s="37"/>
      <c r="P7" s="37"/>
      <c r="Q7" s="37"/>
      <c r="R7" s="18"/>
      <c r="S7" s="37"/>
      <c r="T7" s="37"/>
      <c r="U7" s="37"/>
      <c r="V7" s="18"/>
      <c r="W7" s="18">
        <v>1.0</v>
      </c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18"/>
      <c r="AJ7" s="37"/>
      <c r="AK7" s="37"/>
      <c r="AL7" s="37"/>
      <c r="AM7" s="37"/>
      <c r="AN7" s="37"/>
      <c r="AO7" s="37"/>
      <c r="AP7" s="19"/>
    </row>
    <row r="8">
      <c r="A8" s="42" t="s">
        <v>133</v>
      </c>
      <c r="B8" s="31" t="s">
        <v>105</v>
      </c>
      <c r="C8" s="10" t="s">
        <v>49</v>
      </c>
      <c r="D8" s="11"/>
      <c r="E8" s="12"/>
      <c r="F8" s="13" t="s">
        <v>106</v>
      </c>
      <c r="G8" s="14" t="s">
        <v>107</v>
      </c>
      <c r="H8" s="13" t="s">
        <v>108</v>
      </c>
      <c r="I8" s="16" t="s">
        <v>62</v>
      </c>
      <c r="J8" s="54" t="s">
        <v>61</v>
      </c>
      <c r="K8" s="37"/>
      <c r="L8" s="37"/>
      <c r="M8" s="37"/>
      <c r="N8" s="37"/>
      <c r="O8" s="37"/>
      <c r="P8" s="37"/>
      <c r="Q8" s="37"/>
      <c r="R8" s="18"/>
      <c r="S8" s="37"/>
      <c r="T8" s="37"/>
      <c r="U8" s="37"/>
      <c r="V8" s="18">
        <v>1.0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18"/>
      <c r="AJ8" s="18">
        <v>1.0</v>
      </c>
      <c r="AK8" s="37"/>
      <c r="AL8" s="37"/>
      <c r="AM8" s="37"/>
      <c r="AN8" s="37"/>
      <c r="AO8" s="37"/>
      <c r="AP8" s="19">
        <v>0.0</v>
      </c>
    </row>
    <row r="9">
      <c r="A9" s="42" t="s">
        <v>133</v>
      </c>
      <c r="B9" s="18" t="s">
        <v>110</v>
      </c>
      <c r="C9" s="10" t="s">
        <v>49</v>
      </c>
      <c r="D9" s="11"/>
      <c r="E9" s="12"/>
      <c r="F9" s="13" t="s">
        <v>64</v>
      </c>
      <c r="G9" s="14" t="s">
        <v>65</v>
      </c>
      <c r="H9" s="13" t="s">
        <v>66</v>
      </c>
      <c r="I9" s="16" t="s">
        <v>62</v>
      </c>
      <c r="J9" s="54" t="s">
        <v>61</v>
      </c>
      <c r="K9" s="37"/>
      <c r="L9" s="37"/>
      <c r="M9" s="18"/>
      <c r="N9" s="37"/>
      <c r="O9" s="37"/>
      <c r="P9" s="37"/>
      <c r="Q9" s="37"/>
      <c r="R9" s="37"/>
      <c r="S9" s="37"/>
      <c r="T9" s="37"/>
      <c r="U9" s="18">
        <v>1.0</v>
      </c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18">
        <v>1.0</v>
      </c>
      <c r="AJ9" s="37"/>
      <c r="AK9" s="37"/>
      <c r="AL9" s="37"/>
      <c r="AM9" s="37"/>
      <c r="AN9" s="37"/>
      <c r="AO9" s="37"/>
      <c r="AP9" s="19">
        <v>0.0</v>
      </c>
    </row>
    <row r="10">
      <c r="A10" s="42" t="s">
        <v>133</v>
      </c>
      <c r="B10" s="18" t="s">
        <v>82</v>
      </c>
      <c r="C10" s="10" t="s">
        <v>83</v>
      </c>
      <c r="D10" s="11"/>
      <c r="E10" s="12"/>
      <c r="F10" s="13" t="s">
        <v>84</v>
      </c>
      <c r="G10" s="14" t="s">
        <v>85</v>
      </c>
      <c r="H10" s="13" t="s">
        <v>86</v>
      </c>
      <c r="I10" s="16" t="s">
        <v>51</v>
      </c>
      <c r="J10" s="54" t="s">
        <v>61</v>
      </c>
      <c r="K10" s="37"/>
      <c r="L10" s="37"/>
      <c r="M10" s="37"/>
      <c r="N10" s="37"/>
      <c r="O10" s="37"/>
      <c r="P10" s="37"/>
      <c r="Q10" s="37"/>
      <c r="R10" s="37"/>
      <c r="S10" s="37"/>
      <c r="T10" s="18">
        <v>1.0</v>
      </c>
      <c r="U10" s="37"/>
      <c r="V10" s="37"/>
      <c r="W10" s="37"/>
      <c r="X10" s="37"/>
      <c r="Y10" s="37"/>
      <c r="Z10" s="18"/>
      <c r="AA10" s="37"/>
      <c r="AB10" s="37"/>
      <c r="AC10" s="37"/>
      <c r="AD10" s="37"/>
      <c r="AE10" s="37"/>
      <c r="AF10" s="18"/>
      <c r="AG10" s="37"/>
      <c r="AH10" s="37"/>
      <c r="AI10" s="37"/>
      <c r="AJ10" s="37"/>
      <c r="AK10" s="37"/>
      <c r="AL10" s="37"/>
      <c r="AM10" s="37"/>
      <c r="AN10" s="37"/>
      <c r="AO10" s="37"/>
      <c r="AP10" s="19">
        <v>0.0</v>
      </c>
    </row>
    <row r="11">
      <c r="A11" s="42"/>
      <c r="B11" s="18" t="s">
        <v>116</v>
      </c>
      <c r="C11" s="10" t="s">
        <v>117</v>
      </c>
      <c r="D11" s="11"/>
      <c r="E11" s="12"/>
      <c r="F11" s="13" t="s">
        <v>118</v>
      </c>
      <c r="G11" s="14" t="s">
        <v>119</v>
      </c>
      <c r="H11" s="13" t="s">
        <v>120</v>
      </c>
      <c r="I11" s="16" t="s">
        <v>75</v>
      </c>
      <c r="J11" s="54" t="s">
        <v>76</v>
      </c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18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19">
        <v>0.0</v>
      </c>
    </row>
    <row r="12">
      <c r="A12" s="42" t="s">
        <v>157</v>
      </c>
      <c r="B12" s="18" t="s">
        <v>112</v>
      </c>
      <c r="C12" s="10" t="s">
        <v>49</v>
      </c>
      <c r="D12" s="11"/>
      <c r="E12" s="12"/>
      <c r="F12" s="13" t="s">
        <v>113</v>
      </c>
      <c r="G12" s="14" t="s">
        <v>114</v>
      </c>
      <c r="H12" s="13" t="s">
        <v>123</v>
      </c>
      <c r="I12" s="16" t="s">
        <v>51</v>
      </c>
      <c r="J12" s="54" t="s">
        <v>61</v>
      </c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18"/>
      <c r="Z12" s="37"/>
      <c r="AA12" s="18">
        <v>1.0</v>
      </c>
      <c r="AB12" s="37"/>
      <c r="AC12" s="37"/>
      <c r="AD12" s="37"/>
      <c r="AE12" s="37"/>
      <c r="AF12" s="37"/>
      <c r="AG12" s="37"/>
      <c r="AH12" s="37"/>
      <c r="AI12" s="37"/>
      <c r="AJ12" s="18"/>
      <c r="AK12" s="37"/>
      <c r="AL12" s="37"/>
      <c r="AM12" s="37"/>
      <c r="AN12" s="37"/>
      <c r="AO12" s="37"/>
      <c r="AP12" s="19">
        <v>0.0</v>
      </c>
    </row>
    <row r="13">
      <c r="A13" s="49" t="s">
        <v>157</v>
      </c>
      <c r="B13" s="31" t="s">
        <v>122</v>
      </c>
      <c r="C13" s="10" t="s">
        <v>49</v>
      </c>
      <c r="D13" s="11"/>
      <c r="E13" s="12"/>
      <c r="F13" s="13" t="s">
        <v>52</v>
      </c>
      <c r="G13" s="14" t="s">
        <v>53</v>
      </c>
      <c r="H13" s="13" t="s">
        <v>54</v>
      </c>
      <c r="I13" s="16" t="s">
        <v>62</v>
      </c>
      <c r="J13" s="54" t="s">
        <v>61</v>
      </c>
      <c r="K13" s="37"/>
      <c r="L13" s="37"/>
      <c r="M13" s="37"/>
      <c r="N13" s="37"/>
      <c r="O13" s="37"/>
      <c r="P13" s="18">
        <v>1.0</v>
      </c>
      <c r="Q13" s="18"/>
      <c r="R13" s="37"/>
      <c r="S13" s="37"/>
      <c r="T13" s="37"/>
      <c r="U13" s="37"/>
      <c r="V13" s="37"/>
      <c r="W13" s="37"/>
      <c r="X13" s="37"/>
      <c r="Y13" s="18"/>
      <c r="Z13" s="37"/>
      <c r="AA13" s="37"/>
      <c r="AB13" s="37"/>
      <c r="AC13" s="37"/>
      <c r="AD13" s="18">
        <v>1.0</v>
      </c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19">
        <v>0.0</v>
      </c>
    </row>
  </sheetData>
  <dataValidations>
    <dataValidation type="list" allowBlank="1" showErrorMessage="1" sqref="I2:I13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3">
      <formula1>"UNIMED SÃO CARLOS,AMIL,PASA,UNIMED GUARULHOS,UNIMED NACIONAL,VIVEST,UNIMED SANTOS"</formula1>
    </dataValidation>
    <dataValidation type="list" allowBlank="1" showErrorMessage="1" sqref="J2:J13">
      <formula1>"Ok,S/A"</formula1>
    </dataValidation>
    <dataValidation type="list" allowBlank="1" showErrorMessage="1" sqref="D2:D13">
      <formula1>"NOVO PACIENTE,READMISSÃO,TROCA,INTENSIFICAÇÃO,DESMAME,COBERTURA,REVEZAMENTO"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38"/>
    <col customWidth="1" min="3" max="3" width="22.5"/>
    <col customWidth="1" min="4" max="4" width="20.13"/>
    <col customWidth="1" min="6" max="6" width="30.88"/>
    <col customWidth="1" min="7" max="7" width="35.88"/>
    <col customWidth="1" min="8" max="8" width="16.0"/>
    <col customWidth="1" min="9" max="9" width="18.5"/>
    <col customWidth="1" min="10" max="10" width="8.5"/>
    <col customWidth="1" min="11" max="42" width="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/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6"/>
      <c r="AP1" s="6"/>
    </row>
    <row r="2">
      <c r="A2" s="59" t="s">
        <v>134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61</v>
      </c>
      <c r="K2" s="18" t="s">
        <v>133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18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19"/>
    </row>
    <row r="3">
      <c r="A3" s="60" t="s">
        <v>42</v>
      </c>
      <c r="B3" s="18" t="s">
        <v>143</v>
      </c>
      <c r="C3" s="32" t="s">
        <v>102</v>
      </c>
      <c r="D3" s="33" t="s">
        <v>45</v>
      </c>
      <c r="E3" s="34">
        <v>46125.0</v>
      </c>
      <c r="F3" s="18" t="s">
        <v>144</v>
      </c>
      <c r="G3" s="35" t="s">
        <v>145</v>
      </c>
      <c r="H3" s="18" t="s">
        <v>146</v>
      </c>
      <c r="I3" s="36" t="s">
        <v>147</v>
      </c>
      <c r="J3" s="54" t="s">
        <v>61</v>
      </c>
      <c r="K3" s="18" t="s">
        <v>133</v>
      </c>
      <c r="L3" s="37"/>
      <c r="M3" s="37"/>
      <c r="N3" s="37"/>
      <c r="O3" s="37"/>
      <c r="P3" s="37"/>
      <c r="Q3" s="37"/>
      <c r="R3" s="37"/>
      <c r="S3" s="37"/>
      <c r="T3" s="18"/>
      <c r="U3" s="37"/>
      <c r="V3" s="37"/>
      <c r="W3" s="18">
        <v>1.0</v>
      </c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37"/>
      <c r="AM3" s="37"/>
      <c r="AN3" s="37"/>
      <c r="AO3" s="37"/>
      <c r="AP3" s="39"/>
    </row>
    <row r="4">
      <c r="A4" s="61" t="s">
        <v>68</v>
      </c>
      <c r="B4" s="18" t="s">
        <v>87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61</v>
      </c>
      <c r="K4" s="18" t="s">
        <v>133</v>
      </c>
      <c r="L4" s="37"/>
      <c r="M4" s="37"/>
      <c r="N4" s="37"/>
      <c r="O4" s="37"/>
      <c r="P4" s="37"/>
      <c r="Q4" s="37"/>
      <c r="R4" s="37"/>
      <c r="S4" s="37"/>
      <c r="T4" s="18">
        <v>1.0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18"/>
      <c r="AI4" s="37"/>
      <c r="AJ4" s="37"/>
      <c r="AK4" s="37"/>
      <c r="AL4" s="37"/>
      <c r="AM4" s="37"/>
      <c r="AN4" s="37"/>
      <c r="AO4" s="37"/>
      <c r="AP4" s="39"/>
    </row>
    <row r="5">
      <c r="A5" s="62" t="s">
        <v>111</v>
      </c>
      <c r="B5" s="18" t="s">
        <v>148</v>
      </c>
      <c r="C5" s="32" t="s">
        <v>49</v>
      </c>
      <c r="D5" s="33"/>
      <c r="E5" s="34"/>
      <c r="F5" s="18" t="s">
        <v>64</v>
      </c>
      <c r="G5" s="35" t="s">
        <v>65</v>
      </c>
      <c r="H5" s="18" t="s">
        <v>66</v>
      </c>
      <c r="I5" s="36" t="s">
        <v>75</v>
      </c>
      <c r="J5" s="54" t="s">
        <v>76</v>
      </c>
      <c r="K5" s="37"/>
      <c r="L5" s="37"/>
      <c r="M5" s="18"/>
      <c r="N5" s="37"/>
      <c r="O5" s="37"/>
      <c r="P5" s="37"/>
      <c r="Q5" s="37"/>
      <c r="R5" s="37"/>
      <c r="S5" s="37"/>
      <c r="T5" s="37"/>
      <c r="U5" s="18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9"/>
    </row>
    <row r="6">
      <c r="A6" s="55" t="s">
        <v>149</v>
      </c>
      <c r="B6" s="31" t="s">
        <v>150</v>
      </c>
      <c r="C6" s="10" t="s">
        <v>83</v>
      </c>
      <c r="D6" s="11" t="s">
        <v>45</v>
      </c>
      <c r="E6" s="12">
        <v>46120.0</v>
      </c>
      <c r="F6" s="13" t="s">
        <v>151</v>
      </c>
      <c r="G6" s="14" t="s">
        <v>152</v>
      </c>
      <c r="H6" s="13" t="s">
        <v>153</v>
      </c>
      <c r="I6" s="16" t="s">
        <v>51</v>
      </c>
      <c r="J6" s="54" t="s">
        <v>61</v>
      </c>
      <c r="K6" s="18" t="s">
        <v>133</v>
      </c>
      <c r="L6" s="37"/>
      <c r="M6" s="37"/>
      <c r="N6" s="37"/>
      <c r="O6" s="37"/>
      <c r="P6" s="37"/>
      <c r="Q6" s="37"/>
      <c r="R6" s="37"/>
      <c r="S6" s="37"/>
      <c r="T6" s="18">
        <v>1.0</v>
      </c>
      <c r="U6" s="37"/>
      <c r="V6" s="37"/>
      <c r="W6" s="37"/>
      <c r="X6" s="18"/>
      <c r="Y6" s="37"/>
      <c r="Z6" s="37"/>
      <c r="AA6" s="37"/>
      <c r="AB6" s="37"/>
      <c r="AC6" s="37"/>
      <c r="AD6" s="37"/>
      <c r="AE6" s="37"/>
      <c r="AF6" s="37"/>
      <c r="AG6" s="37"/>
      <c r="AH6" s="18"/>
      <c r="AI6" s="37"/>
      <c r="AJ6" s="37"/>
      <c r="AK6" s="18"/>
      <c r="AL6" s="37"/>
      <c r="AM6" s="37"/>
      <c r="AN6" s="37"/>
      <c r="AO6" s="37"/>
      <c r="AP6" s="19"/>
    </row>
    <row r="7">
      <c r="A7" s="55"/>
      <c r="B7" s="31" t="s">
        <v>154</v>
      </c>
      <c r="C7" s="10" t="s">
        <v>83</v>
      </c>
      <c r="D7" s="11" t="s">
        <v>45</v>
      </c>
      <c r="E7" s="12">
        <v>46144.0</v>
      </c>
      <c r="F7" s="13" t="s">
        <v>155</v>
      </c>
      <c r="G7" s="63" t="s">
        <v>156</v>
      </c>
      <c r="H7" s="13" t="s">
        <v>158</v>
      </c>
      <c r="I7" s="16" t="s">
        <v>75</v>
      </c>
      <c r="J7" s="54" t="s">
        <v>76</v>
      </c>
      <c r="K7" s="37"/>
      <c r="L7" s="37"/>
      <c r="M7" s="37"/>
      <c r="N7" s="37"/>
      <c r="O7" s="37"/>
      <c r="P7" s="37"/>
      <c r="Q7" s="37"/>
      <c r="R7" s="37"/>
      <c r="S7" s="37"/>
      <c r="T7" s="18"/>
      <c r="U7" s="18"/>
      <c r="V7" s="37"/>
      <c r="W7" s="37"/>
      <c r="X7" s="18"/>
      <c r="Y7" s="37"/>
      <c r="Z7" s="37"/>
      <c r="AA7" s="37"/>
      <c r="AB7" s="37"/>
      <c r="AC7" s="37"/>
      <c r="AD7" s="37"/>
      <c r="AE7" s="37"/>
      <c r="AF7" s="37"/>
      <c r="AG7" s="37"/>
      <c r="AH7" s="18"/>
      <c r="AI7" s="37"/>
      <c r="AJ7" s="37"/>
      <c r="AK7" s="18"/>
      <c r="AL7" s="37"/>
      <c r="AM7" s="37"/>
      <c r="AN7" s="37"/>
      <c r="AO7" s="37"/>
      <c r="AP7" s="19"/>
    </row>
    <row r="8">
      <c r="A8" s="55" t="s">
        <v>133</v>
      </c>
      <c r="B8" s="31" t="s">
        <v>127</v>
      </c>
      <c r="C8" s="10" t="s">
        <v>49</v>
      </c>
      <c r="D8" s="11"/>
      <c r="E8" s="12"/>
      <c r="F8" s="13" t="s">
        <v>71</v>
      </c>
      <c r="G8" s="14" t="s">
        <v>72</v>
      </c>
      <c r="H8" s="13" t="s">
        <v>73</v>
      </c>
      <c r="I8" s="16" t="s">
        <v>62</v>
      </c>
      <c r="J8" s="54" t="s">
        <v>61</v>
      </c>
      <c r="K8" s="37"/>
      <c r="L8" s="37"/>
      <c r="M8" s="37"/>
      <c r="N8" s="37"/>
      <c r="O8" s="37"/>
      <c r="P8" s="37"/>
      <c r="Q8" s="37"/>
      <c r="R8" s="37"/>
      <c r="S8" s="37"/>
      <c r="T8" s="18"/>
      <c r="U8" s="18">
        <v>1.0</v>
      </c>
      <c r="V8" s="37"/>
      <c r="W8" s="37"/>
      <c r="X8" s="18"/>
      <c r="Y8" s="37"/>
      <c r="Z8" s="37"/>
      <c r="AA8" s="37"/>
      <c r="AB8" s="37"/>
      <c r="AC8" s="37"/>
      <c r="AD8" s="37"/>
      <c r="AE8" s="37"/>
      <c r="AF8" s="37"/>
      <c r="AG8" s="37"/>
      <c r="AH8" s="18"/>
      <c r="AI8" s="37"/>
      <c r="AJ8" s="37"/>
      <c r="AK8" s="18"/>
      <c r="AL8" s="37"/>
      <c r="AM8" s="37"/>
      <c r="AN8" s="37"/>
      <c r="AO8" s="37"/>
      <c r="AP8" s="19"/>
    </row>
    <row r="9">
      <c r="A9" s="55" t="s">
        <v>133</v>
      </c>
      <c r="B9" s="31" t="s">
        <v>127</v>
      </c>
      <c r="C9" s="10" t="s">
        <v>49</v>
      </c>
      <c r="D9" s="11" t="s">
        <v>159</v>
      </c>
      <c r="E9" s="12">
        <v>46122.0</v>
      </c>
      <c r="F9" s="13" t="s">
        <v>71</v>
      </c>
      <c r="G9" s="14" t="s">
        <v>72</v>
      </c>
      <c r="H9" s="13" t="s">
        <v>73</v>
      </c>
      <c r="I9" s="16" t="s">
        <v>51</v>
      </c>
      <c r="J9" s="54" t="s">
        <v>61</v>
      </c>
      <c r="K9" s="37"/>
      <c r="L9" s="37"/>
      <c r="M9" s="37"/>
      <c r="N9" s="37"/>
      <c r="O9" s="37"/>
      <c r="P9" s="37"/>
      <c r="Q9" s="37"/>
      <c r="R9" s="37"/>
      <c r="S9" s="37"/>
      <c r="T9" s="18"/>
      <c r="U9" s="37"/>
      <c r="V9" s="37"/>
      <c r="W9" s="37"/>
      <c r="X9" s="18"/>
      <c r="Y9" s="37"/>
      <c r="Z9" s="37"/>
      <c r="AA9" s="37"/>
      <c r="AB9" s="37"/>
      <c r="AC9" s="37"/>
      <c r="AD9" s="37"/>
      <c r="AE9" s="37"/>
      <c r="AF9" s="37"/>
      <c r="AG9" s="37"/>
      <c r="AH9" s="18"/>
      <c r="AI9" s="37"/>
      <c r="AJ9" s="37"/>
      <c r="AK9" s="18"/>
      <c r="AL9" s="37"/>
      <c r="AM9" s="37"/>
      <c r="AN9" s="37"/>
      <c r="AO9" s="37"/>
      <c r="AP9" s="19"/>
    </row>
    <row r="10">
      <c r="A10" s="42" t="s">
        <v>133</v>
      </c>
      <c r="B10" s="31" t="s">
        <v>135</v>
      </c>
      <c r="C10" s="10" t="s">
        <v>83</v>
      </c>
      <c r="D10" s="11"/>
      <c r="E10" s="12"/>
      <c r="F10" s="13" t="s">
        <v>136</v>
      </c>
      <c r="G10" s="14" t="s">
        <v>137</v>
      </c>
      <c r="H10" s="13" t="s">
        <v>138</v>
      </c>
      <c r="I10" s="16" t="s">
        <v>51</v>
      </c>
      <c r="J10" s="54" t="s">
        <v>61</v>
      </c>
      <c r="K10" s="37"/>
      <c r="L10" s="37"/>
      <c r="M10" s="37"/>
      <c r="N10" s="37"/>
      <c r="O10" s="37"/>
      <c r="P10" s="37"/>
      <c r="Q10" s="37"/>
      <c r="R10" s="18"/>
      <c r="S10" s="37"/>
      <c r="T10" s="37"/>
      <c r="U10" s="37"/>
      <c r="V10" s="18"/>
      <c r="W10" s="18"/>
      <c r="X10" s="37"/>
      <c r="Y10" s="37"/>
      <c r="Z10" s="37"/>
      <c r="AA10" s="37"/>
      <c r="AB10" s="37"/>
      <c r="AC10" s="37"/>
      <c r="AD10" s="37"/>
      <c r="AE10" s="37"/>
      <c r="AF10" s="37"/>
      <c r="AG10" s="18">
        <v>1.0</v>
      </c>
      <c r="AH10" s="37"/>
      <c r="AI10" s="18"/>
      <c r="AJ10" s="18"/>
      <c r="AK10" s="37"/>
      <c r="AL10" s="37"/>
      <c r="AM10" s="37"/>
      <c r="AN10" s="37"/>
      <c r="AO10" s="37"/>
      <c r="AP10" s="19"/>
    </row>
    <row r="11">
      <c r="A11" s="42"/>
      <c r="B11" s="31" t="s">
        <v>139</v>
      </c>
      <c r="C11" s="10" t="s">
        <v>117</v>
      </c>
      <c r="D11" s="11"/>
      <c r="E11" s="12"/>
      <c r="F11" s="13" t="s">
        <v>140</v>
      </c>
      <c r="G11" s="14" t="s">
        <v>141</v>
      </c>
      <c r="H11" s="13" t="s">
        <v>142</v>
      </c>
      <c r="I11" s="16" t="s">
        <v>75</v>
      </c>
      <c r="J11" s="54" t="s">
        <v>76</v>
      </c>
      <c r="K11" s="37"/>
      <c r="L11" s="37"/>
      <c r="M11" s="37"/>
      <c r="N11" s="37"/>
      <c r="O11" s="37"/>
      <c r="P11" s="37"/>
      <c r="Q11" s="37"/>
      <c r="R11" s="18"/>
      <c r="S11" s="37"/>
      <c r="T11" s="37"/>
      <c r="U11" s="37"/>
      <c r="V11" s="18"/>
      <c r="W11" s="18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18"/>
      <c r="AJ11" s="37"/>
      <c r="AK11" s="37"/>
      <c r="AL11" s="37"/>
      <c r="AM11" s="37"/>
      <c r="AN11" s="37"/>
      <c r="AO11" s="37"/>
      <c r="AP11" s="19"/>
    </row>
    <row r="12">
      <c r="A12" s="42" t="s">
        <v>133</v>
      </c>
      <c r="B12" s="31" t="s">
        <v>105</v>
      </c>
      <c r="C12" s="10" t="s">
        <v>49</v>
      </c>
      <c r="D12" s="11"/>
      <c r="E12" s="12"/>
      <c r="F12" s="13" t="s">
        <v>106</v>
      </c>
      <c r="G12" s="14" t="s">
        <v>107</v>
      </c>
      <c r="H12" s="13" t="s">
        <v>108</v>
      </c>
      <c r="I12" s="16" t="s">
        <v>62</v>
      </c>
      <c r="J12" s="54" t="s">
        <v>61</v>
      </c>
      <c r="K12" s="37"/>
      <c r="L12" s="37"/>
      <c r="M12" s="37"/>
      <c r="N12" s="37"/>
      <c r="O12" s="37"/>
      <c r="P12" s="37"/>
      <c r="Q12" s="37"/>
      <c r="R12" s="18"/>
      <c r="S12" s="37"/>
      <c r="T12" s="37"/>
      <c r="U12" s="37"/>
      <c r="V12" s="18"/>
      <c r="W12" s="37"/>
      <c r="X12" s="37"/>
      <c r="Y12" s="37"/>
      <c r="Z12" s="18">
        <v>1.0</v>
      </c>
      <c r="AA12" s="37"/>
      <c r="AB12" s="37"/>
      <c r="AC12" s="37"/>
      <c r="AD12" s="37"/>
      <c r="AE12" s="37"/>
      <c r="AF12" s="37"/>
      <c r="AG12" s="37"/>
      <c r="AH12" s="37"/>
      <c r="AI12" s="18"/>
      <c r="AJ12" s="18"/>
      <c r="AK12" s="18">
        <v>1.0</v>
      </c>
      <c r="AL12" s="37"/>
      <c r="AM12" s="37"/>
      <c r="AN12" s="37"/>
      <c r="AO12" s="37"/>
      <c r="AP12" s="19"/>
    </row>
    <row r="13">
      <c r="A13" s="42" t="s">
        <v>133</v>
      </c>
      <c r="B13" s="18" t="s">
        <v>110</v>
      </c>
      <c r="C13" s="10" t="s">
        <v>49</v>
      </c>
      <c r="D13" s="11"/>
      <c r="E13" s="12"/>
      <c r="F13" s="13" t="s">
        <v>64</v>
      </c>
      <c r="G13" s="14" t="s">
        <v>65</v>
      </c>
      <c r="H13" s="13" t="s">
        <v>66</v>
      </c>
      <c r="I13" s="16" t="s">
        <v>62</v>
      </c>
      <c r="J13" s="54" t="s">
        <v>61</v>
      </c>
      <c r="K13" s="37"/>
      <c r="L13" s="37"/>
      <c r="M13" s="18"/>
      <c r="N13" s="37"/>
      <c r="O13" s="37"/>
      <c r="P13" s="37"/>
      <c r="Q13" s="18">
        <v>1.0</v>
      </c>
      <c r="R13" s="37"/>
      <c r="S13" s="37"/>
      <c r="T13" s="37"/>
      <c r="U13" s="18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18">
        <v>1.0</v>
      </c>
      <c r="AG13" s="37"/>
      <c r="AH13" s="37"/>
      <c r="AI13" s="18"/>
      <c r="AJ13" s="37"/>
      <c r="AK13" s="37"/>
      <c r="AL13" s="37"/>
      <c r="AM13" s="37"/>
      <c r="AN13" s="37"/>
      <c r="AO13" s="37"/>
      <c r="AP13" s="19"/>
    </row>
    <row r="14">
      <c r="A14" s="42" t="s">
        <v>133</v>
      </c>
      <c r="B14" s="18" t="s">
        <v>82</v>
      </c>
      <c r="C14" s="10" t="s">
        <v>83</v>
      </c>
      <c r="D14" s="11"/>
      <c r="E14" s="12"/>
      <c r="F14" s="13" t="s">
        <v>84</v>
      </c>
      <c r="G14" s="14" t="s">
        <v>85</v>
      </c>
      <c r="H14" s="13" t="s">
        <v>86</v>
      </c>
      <c r="I14" s="16" t="s">
        <v>51</v>
      </c>
      <c r="J14" s="54" t="s">
        <v>61</v>
      </c>
      <c r="K14" s="37"/>
      <c r="L14" s="37"/>
      <c r="M14" s="37"/>
      <c r="N14" s="37"/>
      <c r="O14" s="37"/>
      <c r="P14" s="37"/>
      <c r="Q14" s="37"/>
      <c r="R14" s="37"/>
      <c r="S14" s="37"/>
      <c r="T14" s="18"/>
      <c r="U14" s="37"/>
      <c r="V14" s="37"/>
      <c r="W14" s="37"/>
      <c r="X14" s="37"/>
      <c r="Y14" s="37"/>
      <c r="Z14" s="18">
        <v>1.0</v>
      </c>
      <c r="AA14" s="37"/>
      <c r="AB14" s="37"/>
      <c r="AC14" s="37"/>
      <c r="AD14" s="37"/>
      <c r="AE14" s="37"/>
      <c r="AF14" s="18"/>
      <c r="AG14" s="37"/>
      <c r="AH14" s="37"/>
      <c r="AI14" s="37"/>
      <c r="AJ14" s="37"/>
      <c r="AK14" s="37"/>
      <c r="AL14" s="37"/>
      <c r="AM14" s="37"/>
      <c r="AN14" s="37"/>
      <c r="AO14" s="37"/>
      <c r="AP14" s="19"/>
    </row>
    <row r="15">
      <c r="A15" s="42" t="s">
        <v>133</v>
      </c>
      <c r="B15" s="18" t="s">
        <v>116</v>
      </c>
      <c r="C15" s="10" t="s">
        <v>117</v>
      </c>
      <c r="D15" s="11"/>
      <c r="E15" s="12"/>
      <c r="F15" s="13" t="s">
        <v>118</v>
      </c>
      <c r="G15" s="14" t="s">
        <v>119</v>
      </c>
      <c r="H15" s="13" t="s">
        <v>120</v>
      </c>
      <c r="I15" s="16" t="s">
        <v>75</v>
      </c>
      <c r="J15" s="54" t="s">
        <v>61</v>
      </c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18"/>
      <c r="W15" s="37"/>
      <c r="X15" s="37"/>
      <c r="Y15" s="37"/>
      <c r="Z15" s="37"/>
      <c r="AA15" s="37"/>
      <c r="AB15" s="37"/>
      <c r="AC15" s="37"/>
      <c r="AD15" s="18">
        <v>1.0</v>
      </c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19"/>
    </row>
    <row r="16">
      <c r="A16" s="42" t="s">
        <v>162</v>
      </c>
      <c r="B16" s="18" t="s">
        <v>112</v>
      </c>
      <c r="C16" s="10" t="s">
        <v>49</v>
      </c>
      <c r="D16" s="11"/>
      <c r="E16" s="12"/>
      <c r="F16" s="13" t="s">
        <v>113</v>
      </c>
      <c r="G16" s="14" t="s">
        <v>114</v>
      </c>
      <c r="H16" s="13" t="s">
        <v>123</v>
      </c>
      <c r="I16" s="16" t="s">
        <v>51</v>
      </c>
      <c r="J16" s="54" t="s">
        <v>61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18"/>
      <c r="Z16" s="37"/>
      <c r="AA16" s="18"/>
      <c r="AB16" s="37"/>
      <c r="AC16" s="37"/>
      <c r="AD16" s="37"/>
      <c r="AE16" s="37"/>
      <c r="AF16" s="37"/>
      <c r="AG16" s="37"/>
      <c r="AH16" s="37"/>
      <c r="AI16" s="37"/>
      <c r="AJ16" s="18"/>
      <c r="AK16" s="37"/>
      <c r="AL16" s="37"/>
      <c r="AM16" s="37"/>
      <c r="AN16" s="37"/>
      <c r="AO16" s="37"/>
      <c r="AP16" s="19"/>
    </row>
    <row r="17">
      <c r="A17" s="49" t="s">
        <v>157</v>
      </c>
      <c r="B17" s="31" t="s">
        <v>122</v>
      </c>
      <c r="C17" s="10" t="s">
        <v>49</v>
      </c>
      <c r="D17" s="11"/>
      <c r="E17" s="12"/>
      <c r="F17" s="13" t="s">
        <v>52</v>
      </c>
      <c r="G17" s="14" t="s">
        <v>53</v>
      </c>
      <c r="H17" s="13" t="s">
        <v>54</v>
      </c>
      <c r="I17" s="16" t="s">
        <v>62</v>
      </c>
      <c r="J17" s="54" t="s">
        <v>61</v>
      </c>
      <c r="K17" s="37"/>
      <c r="L17" s="18">
        <v>1.0</v>
      </c>
      <c r="M17" s="37"/>
      <c r="N17" s="37"/>
      <c r="O17" s="37"/>
      <c r="P17" s="18"/>
      <c r="Q17" s="18"/>
      <c r="R17" s="37"/>
      <c r="S17" s="37"/>
      <c r="T17" s="37"/>
      <c r="U17" s="37"/>
      <c r="V17" s="37"/>
      <c r="W17" s="37"/>
      <c r="X17" s="37"/>
      <c r="Y17" s="18"/>
      <c r="Z17" s="18">
        <v>1.0</v>
      </c>
      <c r="AA17" s="37"/>
      <c r="AB17" s="37"/>
      <c r="AC17" s="37"/>
      <c r="AD17" s="18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19"/>
    </row>
  </sheetData>
  <dataValidations>
    <dataValidation type="list" allowBlank="1" showErrorMessage="1" sqref="I2:I17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7">
      <formula1>"UNIMED SÃO CARLOS,AMIL,PASA,UNIMED GUARULHOS,UNIMED NACIONAL,VIVEST,UNIMED SANTOS"</formula1>
    </dataValidation>
    <dataValidation type="list" allowBlank="1" showErrorMessage="1" sqref="J2:J17">
      <formula1>"Ok,S/A"</formula1>
    </dataValidation>
    <dataValidation type="list" allowBlank="1" showErrorMessage="1" sqref="D2:D17">
      <formula1>"NOVO PACIENTE,READMISSÃO,TROCA,INTENSIFICAÇÃO,DESMAME,COBERTURA,REVEZAMENTO"</formula1>
    </dataValidation>
  </dataValidation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38"/>
    <col customWidth="1" min="3" max="3" width="22.5"/>
    <col customWidth="1" min="4" max="4" width="20.13"/>
    <col customWidth="1" min="6" max="6" width="30.88"/>
    <col customWidth="1" min="7" max="7" width="35.88"/>
    <col customWidth="1" min="8" max="8" width="16.0"/>
    <col customWidth="1" min="9" max="9" width="18.5"/>
    <col customWidth="1" min="10" max="10" width="8.5"/>
    <col customWidth="1" min="11" max="42" width="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/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6"/>
      <c r="AP1" s="6"/>
    </row>
    <row r="2">
      <c r="A2" s="59" t="s">
        <v>134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76</v>
      </c>
      <c r="K2" s="18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18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19"/>
    </row>
    <row r="3">
      <c r="A3" s="61" t="s">
        <v>68</v>
      </c>
      <c r="B3" s="18" t="s">
        <v>87</v>
      </c>
      <c r="C3" s="32" t="s">
        <v>49</v>
      </c>
      <c r="D3" s="33"/>
      <c r="E3" s="34"/>
      <c r="F3" s="18" t="s">
        <v>64</v>
      </c>
      <c r="G3" s="35" t="s">
        <v>65</v>
      </c>
      <c r="H3" s="18" t="s">
        <v>66</v>
      </c>
      <c r="I3" s="36" t="s">
        <v>75</v>
      </c>
      <c r="J3" s="54" t="s">
        <v>76</v>
      </c>
      <c r="K3" s="18"/>
      <c r="L3" s="37"/>
      <c r="M3" s="37"/>
      <c r="N3" s="37"/>
      <c r="O3" s="37"/>
      <c r="P3" s="37"/>
      <c r="Q3" s="37"/>
      <c r="R3" s="37"/>
      <c r="S3" s="37"/>
      <c r="T3" s="18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37"/>
      <c r="AM3" s="37"/>
      <c r="AN3" s="37"/>
      <c r="AO3" s="37"/>
      <c r="AP3" s="39"/>
    </row>
    <row r="4">
      <c r="A4" s="62" t="s">
        <v>111</v>
      </c>
      <c r="B4" s="18" t="s">
        <v>148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61</v>
      </c>
      <c r="K4" s="18"/>
      <c r="L4" s="37"/>
      <c r="M4" s="18"/>
      <c r="N4" s="37"/>
      <c r="O4" s="37"/>
      <c r="P4" s="37"/>
      <c r="Q4" s="37"/>
      <c r="R4" s="37"/>
      <c r="S4" s="37"/>
      <c r="T4" s="37"/>
      <c r="U4" s="18"/>
      <c r="V4" s="37"/>
      <c r="W4" s="37"/>
      <c r="X4" s="37"/>
      <c r="Y4" s="37"/>
      <c r="Z4" s="37"/>
      <c r="AA4" s="37"/>
      <c r="AB4" s="37"/>
      <c r="AC4" s="37"/>
      <c r="AD4" s="37"/>
      <c r="AE4" s="37"/>
      <c r="AF4" s="18">
        <v>1.0</v>
      </c>
      <c r="AG4" s="37"/>
      <c r="AH4" s="37"/>
      <c r="AI4" s="37"/>
      <c r="AJ4" s="37"/>
      <c r="AK4" s="37"/>
      <c r="AL4" s="37"/>
      <c r="AM4" s="37"/>
      <c r="AN4" s="37"/>
      <c r="AO4" s="37"/>
      <c r="AP4" s="39"/>
    </row>
    <row r="5">
      <c r="A5" s="55" t="s">
        <v>149</v>
      </c>
      <c r="B5" s="46" t="s">
        <v>150</v>
      </c>
      <c r="C5" s="10" t="s">
        <v>83</v>
      </c>
      <c r="D5" s="11"/>
      <c r="E5" s="12"/>
      <c r="F5" s="13" t="s">
        <v>151</v>
      </c>
      <c r="G5" s="14" t="s">
        <v>152</v>
      </c>
      <c r="H5" s="13" t="s">
        <v>153</v>
      </c>
      <c r="I5" s="16" t="s">
        <v>51</v>
      </c>
      <c r="J5" s="54" t="s">
        <v>76</v>
      </c>
      <c r="K5" s="18"/>
      <c r="L5" s="37"/>
      <c r="M5" s="37"/>
      <c r="N5" s="37"/>
      <c r="O5" s="37"/>
      <c r="P5" s="37"/>
      <c r="Q5" s="37"/>
      <c r="R5" s="37"/>
      <c r="S5" s="37"/>
      <c r="T5" s="18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</row>
    <row r="6">
      <c r="A6" s="64" t="s">
        <v>42</v>
      </c>
      <c r="B6" s="65" t="s">
        <v>154</v>
      </c>
      <c r="C6" s="10" t="s">
        <v>83</v>
      </c>
      <c r="D6" s="11" t="s">
        <v>45</v>
      </c>
      <c r="E6" s="12">
        <v>46144.0</v>
      </c>
      <c r="F6" s="13" t="s">
        <v>155</v>
      </c>
      <c r="G6" s="66" t="s">
        <v>156</v>
      </c>
      <c r="H6" s="27" t="s">
        <v>158</v>
      </c>
      <c r="I6" s="16" t="s">
        <v>75</v>
      </c>
      <c r="J6" s="54" t="s">
        <v>76</v>
      </c>
      <c r="K6" s="37"/>
      <c r="L6" s="37"/>
      <c r="M6" s="37"/>
      <c r="N6" s="37"/>
      <c r="O6" s="37"/>
      <c r="P6" s="37"/>
      <c r="Q6" s="37"/>
      <c r="R6" s="37"/>
      <c r="S6" s="37"/>
      <c r="T6" s="18"/>
      <c r="U6" s="18"/>
      <c r="V6" s="37"/>
      <c r="W6" s="37"/>
      <c r="X6" s="18"/>
      <c r="Y6" s="37"/>
      <c r="Z6" s="37"/>
      <c r="AA6" s="37"/>
      <c r="AB6" s="37"/>
      <c r="AC6" s="37"/>
      <c r="AD6" s="37"/>
      <c r="AE6" s="37"/>
      <c r="AF6" s="37"/>
      <c r="AG6" s="37"/>
      <c r="AH6" s="18"/>
      <c r="AI6" s="37"/>
      <c r="AJ6" s="37"/>
      <c r="AK6" s="18"/>
      <c r="AL6" s="37"/>
      <c r="AM6" s="37"/>
      <c r="AN6" s="37"/>
      <c r="AO6" s="37"/>
      <c r="AP6" s="19"/>
    </row>
    <row r="7">
      <c r="A7" s="55"/>
      <c r="B7" s="31" t="s">
        <v>127</v>
      </c>
      <c r="C7" s="10" t="s">
        <v>49</v>
      </c>
      <c r="D7" s="11"/>
      <c r="E7" s="12"/>
      <c r="F7" s="13" t="s">
        <v>71</v>
      </c>
      <c r="G7" s="14" t="s">
        <v>72</v>
      </c>
      <c r="H7" s="13" t="s">
        <v>73</v>
      </c>
      <c r="I7" s="16" t="s">
        <v>51</v>
      </c>
      <c r="J7" s="54" t="s">
        <v>61</v>
      </c>
      <c r="K7" s="18" t="s">
        <v>133</v>
      </c>
      <c r="L7" s="37"/>
      <c r="M7" s="37"/>
      <c r="N7" s="37"/>
      <c r="O7" s="37"/>
      <c r="P7" s="37"/>
      <c r="Q7" s="37"/>
      <c r="R7" s="37"/>
      <c r="S7" s="37"/>
      <c r="T7" s="18"/>
      <c r="U7" s="37"/>
      <c r="V7" s="37"/>
      <c r="W7" s="37"/>
      <c r="X7" s="18"/>
      <c r="Y7" s="37"/>
      <c r="Z7" s="37"/>
      <c r="AA7" s="37"/>
      <c r="AB7" s="37"/>
      <c r="AC7" s="37"/>
      <c r="AD7" s="37"/>
      <c r="AE7" s="18">
        <v>1.0</v>
      </c>
      <c r="AF7" s="37"/>
      <c r="AG7" s="37"/>
      <c r="AH7" s="18"/>
      <c r="AI7" s="37"/>
      <c r="AJ7" s="37"/>
      <c r="AK7" s="18"/>
      <c r="AL7" s="37"/>
      <c r="AM7" s="37"/>
      <c r="AN7" s="37"/>
      <c r="AO7" s="37"/>
      <c r="AP7" s="19"/>
    </row>
    <row r="8">
      <c r="A8" s="42" t="s">
        <v>133</v>
      </c>
      <c r="B8" s="30" t="s">
        <v>135</v>
      </c>
      <c r="C8" s="10" t="s">
        <v>83</v>
      </c>
      <c r="D8" s="11"/>
      <c r="E8" s="12"/>
      <c r="F8" s="13" t="s">
        <v>136</v>
      </c>
      <c r="G8" s="14" t="s">
        <v>137</v>
      </c>
      <c r="H8" s="13" t="s">
        <v>138</v>
      </c>
      <c r="I8" s="16" t="s">
        <v>51</v>
      </c>
      <c r="J8" s="54" t="s">
        <v>61</v>
      </c>
      <c r="K8" s="37"/>
      <c r="L8" s="37"/>
      <c r="M8" s="37"/>
      <c r="N8" s="37"/>
      <c r="O8" s="37"/>
      <c r="P8" s="37"/>
      <c r="Q8" s="37"/>
      <c r="R8" s="18"/>
      <c r="S8" s="37"/>
      <c r="T8" s="37"/>
      <c r="U8" s="37"/>
      <c r="V8" s="18"/>
      <c r="W8" s="18"/>
      <c r="X8" s="37"/>
      <c r="Y8" s="18">
        <v>1.0</v>
      </c>
      <c r="Z8" s="37"/>
      <c r="AA8" s="37"/>
      <c r="AB8" s="37"/>
      <c r="AC8" s="37"/>
      <c r="AD8" s="37"/>
      <c r="AE8" s="37"/>
      <c r="AF8" s="37"/>
      <c r="AG8" s="18"/>
      <c r="AH8" s="37"/>
      <c r="AI8" s="30"/>
      <c r="AJ8" s="30"/>
      <c r="AK8" s="30"/>
      <c r="AL8" s="30"/>
      <c r="AM8" s="30"/>
      <c r="AN8" s="30"/>
      <c r="AO8" s="37"/>
      <c r="AP8" s="19"/>
    </row>
    <row r="9">
      <c r="A9" s="42"/>
      <c r="B9" s="31" t="s">
        <v>139</v>
      </c>
      <c r="C9" s="10" t="s">
        <v>117</v>
      </c>
      <c r="D9" s="11"/>
      <c r="E9" s="12"/>
      <c r="F9" s="13" t="s">
        <v>140</v>
      </c>
      <c r="G9" s="14" t="s">
        <v>141</v>
      </c>
      <c r="H9" s="13" t="s">
        <v>142</v>
      </c>
      <c r="I9" s="16" t="s">
        <v>75</v>
      </c>
      <c r="J9" s="54" t="s">
        <v>61</v>
      </c>
      <c r="K9" s="37"/>
      <c r="L9" s="37"/>
      <c r="M9" s="37"/>
      <c r="N9" s="37"/>
      <c r="O9" s="37"/>
      <c r="P9" s="37"/>
      <c r="Q9" s="37"/>
      <c r="R9" s="18"/>
      <c r="S9" s="37"/>
      <c r="T9" s="37"/>
      <c r="U9" s="37"/>
      <c r="V9" s="18"/>
      <c r="W9" s="18"/>
      <c r="X9" s="37"/>
      <c r="Y9" s="37"/>
      <c r="Z9" s="37"/>
      <c r="AA9" s="37"/>
      <c r="AB9" s="37"/>
      <c r="AC9" s="37"/>
      <c r="AD9" s="37"/>
      <c r="AE9" s="18">
        <v>1.0</v>
      </c>
      <c r="AF9" s="37"/>
      <c r="AG9" s="37"/>
      <c r="AH9" s="37"/>
      <c r="AI9" s="18"/>
      <c r="AJ9" s="37"/>
      <c r="AK9" s="37"/>
      <c r="AL9" s="37"/>
      <c r="AM9" s="37"/>
      <c r="AN9" s="37"/>
      <c r="AO9" s="37"/>
      <c r="AP9" s="19"/>
    </row>
    <row r="10">
      <c r="A10" s="42" t="s">
        <v>160</v>
      </c>
      <c r="B10" s="31" t="s">
        <v>105</v>
      </c>
      <c r="C10" s="10" t="s">
        <v>49</v>
      </c>
      <c r="D10" s="11"/>
      <c r="E10" s="12"/>
      <c r="F10" s="13" t="s">
        <v>106</v>
      </c>
      <c r="G10" s="14" t="s">
        <v>107</v>
      </c>
      <c r="H10" s="13" t="s">
        <v>108</v>
      </c>
      <c r="I10" s="16" t="s">
        <v>62</v>
      </c>
      <c r="J10" s="54" t="s">
        <v>61</v>
      </c>
      <c r="K10" s="18"/>
      <c r="L10" s="37"/>
      <c r="M10" s="37"/>
      <c r="N10" s="37"/>
      <c r="O10" s="37"/>
      <c r="P10" s="37"/>
      <c r="Q10" s="37"/>
      <c r="R10" s="18"/>
      <c r="S10" s="37"/>
      <c r="T10" s="37"/>
      <c r="U10" s="18"/>
      <c r="V10" s="18">
        <v>1.0</v>
      </c>
      <c r="W10" s="37"/>
      <c r="X10" s="37"/>
      <c r="Y10" s="37"/>
      <c r="Z10" s="18"/>
      <c r="AA10" s="37"/>
      <c r="AB10" s="37"/>
      <c r="AC10" s="37"/>
      <c r="AD10" s="37"/>
      <c r="AE10" s="37"/>
      <c r="AF10" s="37"/>
      <c r="AG10" s="37"/>
      <c r="AH10" s="37"/>
      <c r="AI10" s="18"/>
      <c r="AJ10" s="18"/>
      <c r="AK10" s="18"/>
      <c r="AL10" s="18">
        <v>1.0</v>
      </c>
      <c r="AM10" s="37"/>
      <c r="AN10" s="37"/>
      <c r="AO10" s="37"/>
      <c r="AP10" s="19"/>
    </row>
    <row r="11">
      <c r="A11" s="42" t="s">
        <v>160</v>
      </c>
      <c r="B11" s="18" t="s">
        <v>110</v>
      </c>
      <c r="C11" s="10" t="s">
        <v>49</v>
      </c>
      <c r="D11" s="11"/>
      <c r="E11" s="12"/>
      <c r="F11" s="13" t="s">
        <v>64</v>
      </c>
      <c r="G11" s="14" t="s">
        <v>65</v>
      </c>
      <c r="H11" s="13" t="s">
        <v>66</v>
      </c>
      <c r="I11" s="16" t="s">
        <v>62</v>
      </c>
      <c r="J11" s="54" t="s">
        <v>61</v>
      </c>
      <c r="K11" s="37"/>
      <c r="L11" s="18"/>
      <c r="M11" s="18"/>
      <c r="N11" s="37"/>
      <c r="O11" s="37"/>
      <c r="P11" s="37"/>
      <c r="Q11" s="18"/>
      <c r="R11" s="37"/>
      <c r="S11" s="37"/>
      <c r="T11" s="37"/>
      <c r="U11" s="18"/>
      <c r="V11" s="37"/>
      <c r="W11" s="18">
        <v>1.0</v>
      </c>
      <c r="X11" s="37"/>
      <c r="Y11" s="37"/>
      <c r="Z11" s="37"/>
      <c r="AA11" s="37"/>
      <c r="AB11" s="37"/>
      <c r="AC11" s="37"/>
      <c r="AD11" s="37"/>
      <c r="AE11" s="37"/>
      <c r="AF11" s="18">
        <v>1.0</v>
      </c>
      <c r="AG11" s="37"/>
      <c r="AH11" s="37"/>
      <c r="AI11" s="18"/>
      <c r="AJ11" s="37"/>
      <c r="AK11" s="37"/>
      <c r="AL11" s="37"/>
      <c r="AM11" s="37"/>
      <c r="AN11" s="37"/>
      <c r="AO11" s="37"/>
      <c r="AP11" s="19"/>
    </row>
    <row r="12">
      <c r="A12" s="42" t="s">
        <v>133</v>
      </c>
      <c r="B12" s="44" t="s">
        <v>82</v>
      </c>
      <c r="C12" s="10" t="s">
        <v>83</v>
      </c>
      <c r="D12" s="11"/>
      <c r="E12" s="12"/>
      <c r="F12" s="13" t="s">
        <v>84</v>
      </c>
      <c r="G12" s="14" t="s">
        <v>85</v>
      </c>
      <c r="H12" s="13" t="s">
        <v>86</v>
      </c>
      <c r="I12" s="16" t="s">
        <v>51</v>
      </c>
      <c r="J12" s="54" t="s">
        <v>61</v>
      </c>
      <c r="K12" s="37"/>
      <c r="L12" s="37"/>
      <c r="M12" s="37"/>
      <c r="N12" s="37"/>
      <c r="O12" s="37"/>
      <c r="P12" s="37"/>
      <c r="Q12" s="37"/>
      <c r="R12" s="37"/>
      <c r="S12" s="37"/>
      <c r="T12" s="18"/>
      <c r="U12" s="37"/>
      <c r="V12" s="18">
        <v>1.0</v>
      </c>
      <c r="W12" s="37"/>
      <c r="X12" s="37"/>
      <c r="Y12" s="37"/>
      <c r="Z12" s="18"/>
      <c r="AA12" s="37"/>
      <c r="AB12" s="37"/>
      <c r="AC12" s="37"/>
      <c r="AD12" s="37"/>
      <c r="AE12" s="37"/>
      <c r="AF12" s="18"/>
      <c r="AG12" s="37"/>
      <c r="AH12" s="37"/>
      <c r="AI12" s="37"/>
      <c r="AJ12" s="37"/>
      <c r="AK12" s="37"/>
      <c r="AL12" s="37"/>
      <c r="AM12" s="37"/>
      <c r="AN12" s="37"/>
      <c r="AO12" s="37"/>
      <c r="AP12" s="19"/>
    </row>
    <row r="13">
      <c r="A13" s="42" t="s">
        <v>161</v>
      </c>
      <c r="B13" s="18" t="s">
        <v>116</v>
      </c>
      <c r="C13" s="10" t="s">
        <v>117</v>
      </c>
      <c r="D13" s="11"/>
      <c r="E13" s="12"/>
      <c r="F13" s="13" t="s">
        <v>118</v>
      </c>
      <c r="G13" s="14" t="s">
        <v>119</v>
      </c>
      <c r="H13" s="13" t="s">
        <v>120</v>
      </c>
      <c r="I13" s="16" t="s">
        <v>75</v>
      </c>
      <c r="J13" s="54" t="s">
        <v>76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18"/>
      <c r="W13" s="37"/>
      <c r="X13" s="37"/>
      <c r="Y13" s="37"/>
      <c r="Z13" s="37"/>
      <c r="AA13" s="37"/>
      <c r="AB13" s="37"/>
      <c r="AC13" s="37"/>
      <c r="AD13" s="18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19"/>
    </row>
    <row r="14">
      <c r="A14" s="42" t="s">
        <v>133</v>
      </c>
      <c r="B14" s="18" t="s">
        <v>112</v>
      </c>
      <c r="C14" s="10" t="s">
        <v>49</v>
      </c>
      <c r="D14" s="11"/>
      <c r="E14" s="12"/>
      <c r="F14" s="13" t="s">
        <v>113</v>
      </c>
      <c r="G14" s="14" t="s">
        <v>114</v>
      </c>
      <c r="H14" s="13" t="s">
        <v>123</v>
      </c>
      <c r="I14" s="16" t="s">
        <v>51</v>
      </c>
      <c r="J14" s="54" t="s">
        <v>61</v>
      </c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18">
        <v>1.0</v>
      </c>
      <c r="Y14" s="18"/>
      <c r="Z14" s="37"/>
      <c r="AA14" s="18"/>
      <c r="AB14" s="37"/>
      <c r="AC14" s="37"/>
      <c r="AD14" s="37"/>
      <c r="AE14" s="37"/>
      <c r="AF14" s="37"/>
      <c r="AG14" s="37"/>
      <c r="AH14" s="37"/>
      <c r="AI14" s="37"/>
      <c r="AJ14" s="18"/>
      <c r="AK14" s="37"/>
      <c r="AL14" s="37"/>
      <c r="AM14" s="37"/>
      <c r="AN14" s="37"/>
      <c r="AO14" s="37"/>
      <c r="AP14" s="19"/>
    </row>
    <row r="15">
      <c r="A15" s="49" t="s">
        <v>160</v>
      </c>
      <c r="B15" s="31" t="s">
        <v>122</v>
      </c>
      <c r="C15" s="10" t="s">
        <v>49</v>
      </c>
      <c r="D15" s="11"/>
      <c r="E15" s="12"/>
      <c r="F15" s="13" t="s">
        <v>52</v>
      </c>
      <c r="G15" s="14" t="s">
        <v>53</v>
      </c>
      <c r="H15" s="13" t="s">
        <v>54</v>
      </c>
      <c r="I15" s="16" t="s">
        <v>62</v>
      </c>
      <c r="J15" s="54" t="s">
        <v>61</v>
      </c>
      <c r="K15" s="37"/>
      <c r="L15" s="18"/>
      <c r="M15" s="37"/>
      <c r="N15" s="37"/>
      <c r="O15" s="37"/>
      <c r="P15" s="18">
        <v>1.0</v>
      </c>
      <c r="Q15" s="18"/>
      <c r="R15" s="37"/>
      <c r="S15" s="37"/>
      <c r="T15" s="37"/>
      <c r="U15" s="37"/>
      <c r="V15" s="37"/>
      <c r="W15" s="37"/>
      <c r="X15" s="37"/>
      <c r="Y15" s="18"/>
      <c r="Z15" s="18"/>
      <c r="AA15" s="37"/>
      <c r="AB15" s="37"/>
      <c r="AC15" s="37"/>
      <c r="AD15" s="18">
        <v>1.0</v>
      </c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19"/>
    </row>
  </sheetData>
  <dataValidations>
    <dataValidation type="list" allowBlank="1" showErrorMessage="1" sqref="I2:I1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5">
      <formula1>"UNIMED SÃO CARLOS,AMIL,PASA,UNIMED GUARULHOS,UNIMED NACIONAL,VIVEST,UNIMED SANTOS"</formula1>
    </dataValidation>
    <dataValidation type="list" allowBlank="1" showErrorMessage="1" sqref="J2:J15">
      <formula1>"Ok,S/A"</formula1>
    </dataValidation>
    <dataValidation type="list" allowBlank="1" showErrorMessage="1" sqref="D2:D15">
      <formula1>"NOVO PACIENTE,READMISSÃO,TROCA,INTENSIFICAÇÃO,DESMAME,COBERTURA,REVEZAMENTO"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38"/>
    <col customWidth="1" min="3" max="3" width="22.5"/>
    <col customWidth="1" min="4" max="4" width="20.13"/>
    <col customWidth="1" min="6" max="6" width="30.88"/>
    <col customWidth="1" min="7" max="7" width="35.88"/>
    <col customWidth="1" min="8" max="8" width="16.0"/>
    <col customWidth="1" min="9" max="9" width="18.5"/>
    <col customWidth="1" min="10" max="10" width="8.5"/>
    <col customWidth="1" min="11" max="40" width="4.38"/>
    <col customWidth="1" min="41" max="41" width="4.0"/>
    <col customWidth="1" min="42" max="43" width="7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/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68" t="s">
        <v>163</v>
      </c>
    </row>
    <row r="2">
      <c r="A2" s="69" t="s">
        <v>42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76</v>
      </c>
      <c r="K2" s="18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18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70">
        <f t="shared" ref="AP2:AP11" si="1">AO2+AN2+AM2+AL2+AK2+AJ2+AI2+AH2+AG2+AF2+AE2+AD2+AC2+AB2+AA2+Z2+Y2+X2+W2+V2+U2+T2+S2+R2+Q2+P2+O2+N2+M2+L2+K2</f>
        <v>0</v>
      </c>
      <c r="AQ2" s="71"/>
    </row>
    <row r="3">
      <c r="A3" s="72" t="s">
        <v>60</v>
      </c>
      <c r="B3" s="18" t="s">
        <v>87</v>
      </c>
      <c r="C3" s="32" t="s">
        <v>49</v>
      </c>
      <c r="D3" s="33"/>
      <c r="E3" s="34"/>
      <c r="F3" s="18" t="s">
        <v>64</v>
      </c>
      <c r="G3" s="35" t="s">
        <v>65</v>
      </c>
      <c r="H3" s="18" t="s">
        <v>66</v>
      </c>
      <c r="I3" s="36" t="s">
        <v>75</v>
      </c>
      <c r="J3" s="54" t="s">
        <v>61</v>
      </c>
      <c r="K3" s="18"/>
      <c r="L3" s="37"/>
      <c r="M3" s="37"/>
      <c r="N3" s="37"/>
      <c r="O3" s="37"/>
      <c r="P3" s="37"/>
      <c r="Q3" s="37"/>
      <c r="R3" s="37"/>
      <c r="S3" s="37"/>
      <c r="T3" s="18"/>
      <c r="U3" s="37"/>
      <c r="V3" s="18">
        <v>1.0</v>
      </c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37"/>
      <c r="AM3" s="37"/>
      <c r="AN3" s="37"/>
      <c r="AO3" s="37"/>
      <c r="AP3" s="70">
        <f t="shared" si="1"/>
        <v>1</v>
      </c>
      <c r="AQ3" s="71"/>
    </row>
    <row r="4">
      <c r="A4" s="74" t="s">
        <v>68</v>
      </c>
      <c r="B4" s="75" t="s">
        <v>148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76</v>
      </c>
      <c r="K4" s="18"/>
      <c r="L4" s="37"/>
      <c r="M4" s="18"/>
      <c r="N4" s="37"/>
      <c r="O4" s="37"/>
      <c r="P4" s="37"/>
      <c r="Q4" s="37"/>
      <c r="R4" s="37"/>
      <c r="S4" s="37"/>
      <c r="T4" s="37"/>
      <c r="U4" s="18"/>
      <c r="V4" s="37"/>
      <c r="W4" s="37"/>
      <c r="X4" s="37"/>
      <c r="Y4" s="37"/>
      <c r="Z4" s="37"/>
      <c r="AA4" s="37"/>
      <c r="AB4" s="37"/>
      <c r="AC4" s="37"/>
      <c r="AD4" s="37"/>
      <c r="AE4" s="37"/>
      <c r="AF4" s="18"/>
      <c r="AG4" s="37"/>
      <c r="AH4" s="37"/>
      <c r="AI4" s="37"/>
      <c r="AJ4" s="37"/>
      <c r="AK4" s="37"/>
      <c r="AL4" s="37"/>
      <c r="AM4" s="37"/>
      <c r="AN4" s="37"/>
      <c r="AO4" s="37"/>
      <c r="AP4" s="70">
        <f t="shared" si="1"/>
        <v>0</v>
      </c>
      <c r="AQ4" s="71"/>
    </row>
    <row r="5">
      <c r="A5" s="77" t="s">
        <v>111</v>
      </c>
      <c r="B5" s="31" t="s">
        <v>127</v>
      </c>
      <c r="C5" s="10" t="s">
        <v>49</v>
      </c>
      <c r="D5" s="11"/>
      <c r="E5" s="12"/>
      <c r="F5" s="13" t="s">
        <v>71</v>
      </c>
      <c r="G5" s="14" t="s">
        <v>72</v>
      </c>
      <c r="H5" s="13" t="s">
        <v>73</v>
      </c>
      <c r="I5" s="16" t="s">
        <v>51</v>
      </c>
      <c r="J5" s="54" t="s">
        <v>61</v>
      </c>
      <c r="K5" s="18"/>
      <c r="L5" s="37"/>
      <c r="M5" s="37"/>
      <c r="N5" s="37"/>
      <c r="O5" s="37"/>
      <c r="P5" s="37"/>
      <c r="Q5" s="37"/>
      <c r="R5" s="37"/>
      <c r="S5" s="18">
        <v>1.0</v>
      </c>
      <c r="T5" s="18"/>
      <c r="U5" s="37"/>
      <c r="V5" s="37"/>
      <c r="W5" s="37"/>
      <c r="X5" s="18"/>
      <c r="Y5" s="37"/>
      <c r="Z5" s="37"/>
      <c r="AA5" s="37"/>
      <c r="AB5" s="37"/>
      <c r="AC5" s="37"/>
      <c r="AD5" s="37"/>
      <c r="AE5" s="18"/>
      <c r="AF5" s="37"/>
      <c r="AG5" s="37"/>
      <c r="AH5" s="18"/>
      <c r="AI5" s="37"/>
      <c r="AJ5" s="37"/>
      <c r="AK5" s="18"/>
      <c r="AL5" s="37"/>
      <c r="AM5" s="37"/>
      <c r="AN5" s="37"/>
      <c r="AO5" s="37"/>
      <c r="AP5" s="70">
        <f t="shared" si="1"/>
        <v>1</v>
      </c>
      <c r="AQ5" s="71"/>
    </row>
    <row r="6">
      <c r="A6" s="42" t="s">
        <v>171</v>
      </c>
      <c r="B6" s="31" t="s">
        <v>139</v>
      </c>
      <c r="C6" s="10" t="s">
        <v>117</v>
      </c>
      <c r="D6" s="11"/>
      <c r="E6" s="12"/>
      <c r="F6" s="13" t="s">
        <v>140</v>
      </c>
      <c r="G6" s="14" t="s">
        <v>141</v>
      </c>
      <c r="H6" s="13" t="s">
        <v>142</v>
      </c>
      <c r="I6" s="16" t="s">
        <v>75</v>
      </c>
      <c r="J6" s="54" t="s">
        <v>61</v>
      </c>
      <c r="K6" s="37"/>
      <c r="L6" s="37"/>
      <c r="M6" s="37"/>
      <c r="N6" s="37"/>
      <c r="O6" s="37"/>
      <c r="P6" s="37"/>
      <c r="Q6" s="37"/>
      <c r="R6" s="18"/>
      <c r="S6" s="37"/>
      <c r="T6" s="37"/>
      <c r="U6" s="37"/>
      <c r="V6" s="18"/>
      <c r="W6" s="18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18"/>
      <c r="AJ6" s="37"/>
      <c r="AK6" s="37"/>
      <c r="AL6" s="37"/>
      <c r="AM6" s="37"/>
      <c r="AN6" s="37"/>
      <c r="AO6" s="37"/>
      <c r="AP6" s="70">
        <f t="shared" si="1"/>
        <v>0</v>
      </c>
      <c r="AQ6" s="71"/>
    </row>
    <row r="7">
      <c r="A7" s="42" t="s">
        <v>104</v>
      </c>
      <c r="B7" s="31" t="s">
        <v>105</v>
      </c>
      <c r="C7" s="10" t="s">
        <v>49</v>
      </c>
      <c r="D7" s="11"/>
      <c r="E7" s="12"/>
      <c r="F7" s="13" t="s">
        <v>106</v>
      </c>
      <c r="G7" s="14" t="s">
        <v>107</v>
      </c>
      <c r="H7" s="13" t="s">
        <v>108</v>
      </c>
      <c r="I7" s="16" t="s">
        <v>62</v>
      </c>
      <c r="J7" s="54" t="s">
        <v>61</v>
      </c>
      <c r="K7" s="18"/>
      <c r="L7" s="37"/>
      <c r="M7" s="37"/>
      <c r="N7" s="37"/>
      <c r="O7" s="37"/>
      <c r="P7" s="37"/>
      <c r="Q7" s="37"/>
      <c r="R7" s="18">
        <v>1.0</v>
      </c>
      <c r="S7" s="37"/>
      <c r="T7" s="37"/>
      <c r="U7" s="30"/>
      <c r="V7" s="30"/>
      <c r="W7" s="30"/>
      <c r="X7" s="30"/>
      <c r="Y7" s="30"/>
      <c r="Z7" s="30"/>
      <c r="AA7" s="30"/>
      <c r="AB7" s="45"/>
      <c r="AC7" s="45"/>
      <c r="AD7" s="45"/>
      <c r="AE7" s="45"/>
      <c r="AF7" s="53">
        <v>1.0</v>
      </c>
      <c r="AG7" s="45"/>
      <c r="AH7" s="45"/>
      <c r="AI7" s="45"/>
      <c r="AJ7" s="45"/>
      <c r="AK7" s="45"/>
      <c r="AL7" s="45"/>
      <c r="AM7" s="45"/>
      <c r="AN7" s="45"/>
      <c r="AO7" s="45"/>
      <c r="AP7" s="70">
        <f t="shared" si="1"/>
        <v>2</v>
      </c>
      <c r="AQ7" s="71"/>
    </row>
    <row r="8">
      <c r="A8" s="42" t="s">
        <v>104</v>
      </c>
      <c r="B8" s="18" t="s">
        <v>110</v>
      </c>
      <c r="C8" s="10" t="s">
        <v>49</v>
      </c>
      <c r="D8" s="11"/>
      <c r="E8" s="12"/>
      <c r="F8" s="13" t="s">
        <v>64</v>
      </c>
      <c r="G8" s="14" t="s">
        <v>65</v>
      </c>
      <c r="H8" s="13" t="s">
        <v>66</v>
      </c>
      <c r="I8" s="16" t="s">
        <v>62</v>
      </c>
      <c r="J8" s="54" t="s">
        <v>61</v>
      </c>
      <c r="K8" s="18"/>
      <c r="L8" s="18"/>
      <c r="M8" s="18"/>
      <c r="N8" s="37"/>
      <c r="O8" s="37"/>
      <c r="P8" s="37"/>
      <c r="Q8" s="18"/>
      <c r="R8" s="37"/>
      <c r="S8" s="37"/>
      <c r="T8" s="37"/>
      <c r="U8" s="18">
        <v>1.0</v>
      </c>
      <c r="V8" s="37"/>
      <c r="W8" s="18"/>
      <c r="X8" s="37"/>
      <c r="Y8" s="37"/>
      <c r="Z8" s="37"/>
      <c r="AA8" s="37"/>
      <c r="AB8" s="37"/>
      <c r="AC8" s="37"/>
      <c r="AD8" s="37"/>
      <c r="AE8" s="37"/>
      <c r="AF8" s="18"/>
      <c r="AG8" s="37"/>
      <c r="AH8" s="37"/>
      <c r="AI8" s="18"/>
      <c r="AJ8" s="18">
        <v>1.0</v>
      </c>
      <c r="AK8" s="37"/>
      <c r="AL8" s="37"/>
      <c r="AM8" s="37"/>
      <c r="AN8" s="37"/>
      <c r="AO8" s="37"/>
      <c r="AP8" s="70">
        <f t="shared" si="1"/>
        <v>2</v>
      </c>
      <c r="AQ8" s="71"/>
    </row>
    <row r="9">
      <c r="A9" s="42"/>
      <c r="B9" s="18" t="s">
        <v>116</v>
      </c>
      <c r="C9" s="10" t="s">
        <v>117</v>
      </c>
      <c r="D9" s="11"/>
      <c r="E9" s="12"/>
      <c r="F9" s="13" t="s">
        <v>118</v>
      </c>
      <c r="G9" s="14" t="s">
        <v>119</v>
      </c>
      <c r="H9" s="13" t="s">
        <v>120</v>
      </c>
      <c r="I9" s="16" t="s">
        <v>75</v>
      </c>
      <c r="J9" s="54" t="s">
        <v>61</v>
      </c>
      <c r="K9" s="18"/>
      <c r="L9" s="37"/>
      <c r="M9" s="37"/>
      <c r="N9" s="37"/>
      <c r="O9" s="37"/>
      <c r="P9" s="37"/>
      <c r="Q9" s="37"/>
      <c r="R9" s="37"/>
      <c r="S9" s="37"/>
      <c r="T9" s="37"/>
      <c r="U9" s="37"/>
      <c r="V9" s="18"/>
      <c r="W9" s="37"/>
      <c r="X9" s="37"/>
      <c r="Y9" s="37"/>
      <c r="Z9" s="37"/>
      <c r="AA9" s="37"/>
      <c r="AB9" s="18">
        <v>1.0</v>
      </c>
      <c r="AC9" s="37"/>
      <c r="AD9" s="18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70">
        <f t="shared" si="1"/>
        <v>1</v>
      </c>
      <c r="AQ9" s="71"/>
    </row>
    <row r="10">
      <c r="A10" s="42"/>
      <c r="B10" s="18" t="s">
        <v>112</v>
      </c>
      <c r="C10" s="10" t="s">
        <v>49</v>
      </c>
      <c r="D10" s="11"/>
      <c r="E10" s="12"/>
      <c r="F10" s="13" t="s">
        <v>113</v>
      </c>
      <c r="G10" s="14" t="s">
        <v>114</v>
      </c>
      <c r="H10" s="13" t="s">
        <v>123</v>
      </c>
      <c r="I10" s="16" t="s">
        <v>51</v>
      </c>
      <c r="J10" s="54" t="s">
        <v>61</v>
      </c>
      <c r="K10" s="18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18"/>
      <c r="Y10" s="18">
        <v>1.0</v>
      </c>
      <c r="Z10" s="37"/>
      <c r="AA10" s="18"/>
      <c r="AB10" s="37"/>
      <c r="AC10" s="37"/>
      <c r="AD10" s="37"/>
      <c r="AE10" s="37"/>
      <c r="AF10" s="37"/>
      <c r="AG10" s="37"/>
      <c r="AH10" s="37"/>
      <c r="AI10" s="37"/>
      <c r="AJ10" s="18"/>
      <c r="AK10" s="37"/>
      <c r="AL10" s="37"/>
      <c r="AM10" s="37"/>
      <c r="AN10" s="37"/>
      <c r="AO10" s="37"/>
      <c r="AP10" s="70">
        <f t="shared" si="1"/>
        <v>1</v>
      </c>
      <c r="AQ10" s="71"/>
    </row>
    <row r="11">
      <c r="A11" s="49" t="s">
        <v>104</v>
      </c>
      <c r="B11" s="31" t="s">
        <v>122</v>
      </c>
      <c r="C11" s="10" t="s">
        <v>49</v>
      </c>
      <c r="D11" s="11"/>
      <c r="E11" s="12"/>
      <c r="F11" s="13" t="s">
        <v>52</v>
      </c>
      <c r="G11" s="14" t="s">
        <v>53</v>
      </c>
      <c r="H11" s="13" t="s">
        <v>54</v>
      </c>
      <c r="I11" s="16" t="s">
        <v>62</v>
      </c>
      <c r="J11" s="54" t="s">
        <v>61</v>
      </c>
      <c r="K11" s="18"/>
      <c r="L11" s="18"/>
      <c r="M11" s="18">
        <v>1.0</v>
      </c>
      <c r="N11" s="37"/>
      <c r="O11" s="37"/>
      <c r="P11" s="18"/>
      <c r="Q11" s="18"/>
      <c r="R11" s="37"/>
      <c r="S11" s="37"/>
      <c r="T11" s="37"/>
      <c r="U11" s="37"/>
      <c r="V11" s="37"/>
      <c r="W11" s="37"/>
      <c r="X11" s="37"/>
      <c r="Y11" s="18"/>
      <c r="Z11" s="18"/>
      <c r="AA11" s="37"/>
      <c r="AB11" s="37"/>
      <c r="AC11" s="18">
        <v>1.0</v>
      </c>
      <c r="AD11" s="18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70">
        <f t="shared" si="1"/>
        <v>2</v>
      </c>
      <c r="AQ11" s="71"/>
    </row>
  </sheetData>
  <dataValidations>
    <dataValidation type="list" allowBlank="1" showErrorMessage="1" sqref="I2:I11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1">
      <formula1>"UNIMED SÃO CARLOS,AMIL,PASA,UNIMED GUARULHOS,UNIMED NACIONAL,VIVEST,UNIMED SANTOS"</formula1>
    </dataValidation>
    <dataValidation type="list" allowBlank="1" showErrorMessage="1" sqref="J2:J11">
      <formula1>"Ok,S/A"</formula1>
    </dataValidation>
    <dataValidation type="list" allowBlank="1" showErrorMessage="1" sqref="D2:D11">
      <formula1>"NOVO PACIENTE,READMISSÃO,TROCA,INTENSIFICAÇÃO,DESMAME,COBERTURA,REVEZAMENTO"</formula1>
    </dataValidation>
  </dataValidation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0.25"/>
    <col customWidth="1" min="3" max="3" width="23.0"/>
    <col customWidth="1" min="4" max="4" width="20.13"/>
    <col customWidth="1" min="6" max="6" width="27.75"/>
    <col customWidth="1" min="7" max="7" width="31.0"/>
    <col customWidth="1" min="8" max="8" width="16.0"/>
    <col customWidth="1" min="9" max="9" width="17.5"/>
    <col customWidth="1" min="10" max="10" width="8.5"/>
    <col customWidth="1" min="11" max="40" width="4.38"/>
    <col customWidth="1" min="41" max="41" width="4.0"/>
    <col customWidth="1" min="42" max="42" width="12.88"/>
    <col customWidth="1" min="43" max="43" width="10.88"/>
    <col customWidth="1" min="44" max="44" width="8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/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68" t="s">
        <v>164</v>
      </c>
      <c r="AQ1" s="68" t="s">
        <v>163</v>
      </c>
      <c r="AR1" s="68"/>
    </row>
    <row r="2">
      <c r="A2" s="73" t="s">
        <v>165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 t="s">
        <v>61</v>
      </c>
      <c r="K2" s="18" t="s">
        <v>133</v>
      </c>
      <c r="L2" s="37"/>
      <c r="M2" s="37"/>
      <c r="N2" s="37"/>
      <c r="O2" s="18"/>
      <c r="P2" s="37"/>
      <c r="Q2" s="37"/>
      <c r="R2" s="37"/>
      <c r="S2" s="37"/>
      <c r="T2" s="37"/>
      <c r="U2" s="37"/>
      <c r="V2" s="18"/>
      <c r="W2" s="37"/>
      <c r="X2" s="18"/>
      <c r="Y2" s="18"/>
      <c r="Z2" s="37"/>
      <c r="AA2" s="37"/>
      <c r="AB2" s="18">
        <v>1.0</v>
      </c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9">
        <f t="shared" ref="AP2:AP20" si="1">SUM(K2:AO2)</f>
        <v>1</v>
      </c>
      <c r="AQ2" s="39" t="s">
        <v>166</v>
      </c>
      <c r="AR2" s="39"/>
    </row>
    <row r="3">
      <c r="A3" s="76" t="s">
        <v>42</v>
      </c>
      <c r="B3" s="18" t="s">
        <v>167</v>
      </c>
      <c r="C3" s="32" t="s">
        <v>168</v>
      </c>
      <c r="D3" s="33" t="s">
        <v>45</v>
      </c>
      <c r="E3" s="34">
        <v>46230.0</v>
      </c>
      <c r="F3" s="18" t="s">
        <v>84</v>
      </c>
      <c r="G3" s="78" t="s">
        <v>85</v>
      </c>
      <c r="H3" s="78" t="s">
        <v>86</v>
      </c>
      <c r="I3" s="36" t="s">
        <v>51</v>
      </c>
      <c r="J3" s="54" t="s">
        <v>61</v>
      </c>
      <c r="K3" s="18"/>
      <c r="L3" s="37"/>
      <c r="M3" s="37"/>
      <c r="N3" s="37"/>
      <c r="O3" s="37"/>
      <c r="P3" s="37"/>
      <c r="Q3" s="37"/>
      <c r="R3" s="37"/>
      <c r="S3" s="37"/>
      <c r="T3" s="18"/>
      <c r="U3" s="37"/>
      <c r="V3" s="18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18">
        <v>1.0</v>
      </c>
      <c r="AM3" s="37"/>
      <c r="AN3" s="37"/>
      <c r="AO3" s="37"/>
      <c r="AP3" s="39">
        <f t="shared" si="1"/>
        <v>1</v>
      </c>
      <c r="AQ3" s="39" t="s">
        <v>166</v>
      </c>
      <c r="AR3" s="39"/>
    </row>
    <row r="4">
      <c r="A4" s="79" t="s">
        <v>68</v>
      </c>
      <c r="B4" s="18" t="s">
        <v>87</v>
      </c>
      <c r="C4" s="32" t="s">
        <v>49</v>
      </c>
      <c r="D4" s="33"/>
      <c r="E4" s="34"/>
      <c r="F4" s="18" t="s">
        <v>64</v>
      </c>
      <c r="G4" s="35" t="s">
        <v>65</v>
      </c>
      <c r="H4" s="18" t="s">
        <v>66</v>
      </c>
      <c r="I4" s="36" t="s">
        <v>75</v>
      </c>
      <c r="J4" s="54" t="s">
        <v>76</v>
      </c>
      <c r="K4" s="18"/>
      <c r="L4" s="37"/>
      <c r="M4" s="37"/>
      <c r="N4" s="37"/>
      <c r="O4" s="37"/>
      <c r="P4" s="37"/>
      <c r="Q4" s="37"/>
      <c r="R4" s="37"/>
      <c r="S4" s="37"/>
      <c r="T4" s="18"/>
      <c r="U4" s="37"/>
      <c r="V4" s="18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18"/>
      <c r="AI4" s="37"/>
      <c r="AJ4" s="37"/>
      <c r="AK4" s="37"/>
      <c r="AL4" s="37"/>
      <c r="AM4" s="37"/>
      <c r="AN4" s="37"/>
      <c r="AO4" s="37"/>
      <c r="AP4" s="39">
        <f t="shared" si="1"/>
        <v>0</v>
      </c>
      <c r="AQ4" s="39" t="s">
        <v>161</v>
      </c>
      <c r="AR4" s="39"/>
    </row>
    <row r="5">
      <c r="A5" s="80" t="s">
        <v>60</v>
      </c>
      <c r="B5" s="18" t="s">
        <v>169</v>
      </c>
      <c r="C5" s="32" t="s">
        <v>168</v>
      </c>
      <c r="D5" s="33" t="s">
        <v>45</v>
      </c>
      <c r="E5" s="34">
        <v>46234.0</v>
      </c>
      <c r="F5" s="18" t="s">
        <v>170</v>
      </c>
      <c r="G5" s="78" t="s">
        <v>172</v>
      </c>
      <c r="H5" s="78" t="s">
        <v>173</v>
      </c>
      <c r="I5" s="36" t="s">
        <v>51</v>
      </c>
      <c r="J5" s="54" t="s">
        <v>61</v>
      </c>
      <c r="K5" s="18"/>
      <c r="L5" s="37"/>
      <c r="M5" s="18"/>
      <c r="N5" s="37"/>
      <c r="O5" s="37"/>
      <c r="P5" s="37"/>
      <c r="Q5" s="37"/>
      <c r="R5" s="37"/>
      <c r="S5" s="37"/>
      <c r="T5" s="37"/>
      <c r="U5" s="18"/>
      <c r="V5" s="37"/>
      <c r="W5" s="37"/>
      <c r="X5" s="37"/>
      <c r="Y5" s="37"/>
      <c r="Z5" s="37"/>
      <c r="AA5" s="37"/>
      <c r="AB5" s="37"/>
      <c r="AC5" s="37"/>
      <c r="AD5" s="37"/>
      <c r="AE5" s="37"/>
      <c r="AF5" s="18"/>
      <c r="AG5" s="37"/>
      <c r="AH5" s="37"/>
      <c r="AI5" s="37"/>
      <c r="AJ5" s="37"/>
      <c r="AK5" s="37"/>
      <c r="AL5" s="37"/>
      <c r="AM5" s="37"/>
      <c r="AN5" s="37"/>
      <c r="AO5" s="18">
        <v>1.0</v>
      </c>
      <c r="AP5" s="39">
        <f t="shared" si="1"/>
        <v>1</v>
      </c>
      <c r="AQ5" s="39" t="s">
        <v>166</v>
      </c>
      <c r="AR5" s="39"/>
    </row>
    <row r="6">
      <c r="B6" s="31" t="s">
        <v>174</v>
      </c>
      <c r="C6" s="32" t="s">
        <v>168</v>
      </c>
      <c r="D6" s="33" t="s">
        <v>45</v>
      </c>
      <c r="E6" s="34">
        <v>46224.0</v>
      </c>
      <c r="F6" s="18" t="s">
        <v>175</v>
      </c>
      <c r="G6" s="81" t="s">
        <v>176</v>
      </c>
      <c r="H6" s="81" t="s">
        <v>177</v>
      </c>
      <c r="I6" s="36" t="s">
        <v>51</v>
      </c>
      <c r="J6" s="54" t="s">
        <v>76</v>
      </c>
      <c r="K6" s="18"/>
      <c r="L6" s="37"/>
      <c r="M6" s="37"/>
      <c r="N6" s="37"/>
      <c r="O6" s="37"/>
      <c r="P6" s="37"/>
      <c r="Q6" s="37"/>
      <c r="R6" s="37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39">
        <f t="shared" si="1"/>
        <v>0</v>
      </c>
      <c r="AQ6" s="39" t="s">
        <v>161</v>
      </c>
      <c r="AR6" s="39"/>
    </row>
    <row r="7">
      <c r="A7" s="82" t="s">
        <v>178</v>
      </c>
      <c r="B7" s="31" t="s">
        <v>174</v>
      </c>
      <c r="C7" s="32" t="s">
        <v>168</v>
      </c>
      <c r="D7" s="33" t="s">
        <v>93</v>
      </c>
      <c r="E7" s="34">
        <v>46230.0</v>
      </c>
      <c r="F7" s="18" t="s">
        <v>175</v>
      </c>
      <c r="G7" s="78" t="s">
        <v>179</v>
      </c>
      <c r="H7" s="78" t="s">
        <v>180</v>
      </c>
      <c r="I7" s="36" t="s">
        <v>51</v>
      </c>
      <c r="J7" s="54" t="s">
        <v>61</v>
      </c>
      <c r="K7" s="18"/>
      <c r="L7" s="37"/>
      <c r="M7" s="37"/>
      <c r="N7" s="37"/>
      <c r="O7" s="37"/>
      <c r="P7" s="37"/>
      <c r="Q7" s="37"/>
      <c r="R7" s="37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39">
        <f t="shared" si="1"/>
        <v>0</v>
      </c>
      <c r="AQ7" s="39" t="s">
        <v>161</v>
      </c>
      <c r="AR7" s="39"/>
    </row>
    <row r="8">
      <c r="A8" s="82"/>
      <c r="B8" s="31" t="s">
        <v>181</v>
      </c>
      <c r="C8" s="32" t="s">
        <v>168</v>
      </c>
      <c r="D8" s="33" t="s">
        <v>45</v>
      </c>
      <c r="E8" s="34">
        <v>46225.0</v>
      </c>
      <c r="F8" s="18" t="s">
        <v>182</v>
      </c>
      <c r="G8" s="78" t="s">
        <v>183</v>
      </c>
      <c r="H8" s="78" t="s">
        <v>184</v>
      </c>
      <c r="I8" s="36" t="s">
        <v>51</v>
      </c>
      <c r="J8" s="54" t="s">
        <v>61</v>
      </c>
      <c r="K8" s="18"/>
      <c r="L8" s="37"/>
      <c r="M8" s="37"/>
      <c r="N8" s="37"/>
      <c r="O8" s="37"/>
      <c r="P8" s="37"/>
      <c r="Q8" s="37"/>
      <c r="R8" s="37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53">
        <v>1.0</v>
      </c>
      <c r="AM8" s="45"/>
      <c r="AN8" s="45"/>
      <c r="AO8" s="45"/>
      <c r="AP8" s="39">
        <f t="shared" si="1"/>
        <v>1</v>
      </c>
      <c r="AQ8" s="39" t="s">
        <v>166</v>
      </c>
      <c r="AR8" s="39"/>
    </row>
    <row r="9">
      <c r="A9" s="82"/>
      <c r="B9" s="31" t="s">
        <v>185</v>
      </c>
      <c r="C9" s="32" t="s">
        <v>83</v>
      </c>
      <c r="D9" s="33" t="s">
        <v>45</v>
      </c>
      <c r="E9" s="34">
        <v>46231.0</v>
      </c>
      <c r="F9" s="18" t="s">
        <v>186</v>
      </c>
      <c r="G9" s="83" t="s">
        <v>137</v>
      </c>
      <c r="H9" s="83" t="s">
        <v>138</v>
      </c>
      <c r="I9" s="36" t="s">
        <v>51</v>
      </c>
      <c r="J9" s="54" t="s">
        <v>61</v>
      </c>
      <c r="K9" s="18"/>
      <c r="L9" s="37"/>
      <c r="M9" s="37"/>
      <c r="N9" s="37"/>
      <c r="O9" s="37"/>
      <c r="P9" s="37"/>
      <c r="Q9" s="37"/>
      <c r="R9" s="37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31"/>
      <c r="AG9" s="31"/>
      <c r="AH9" s="31"/>
      <c r="AI9" s="31"/>
      <c r="AJ9" s="31"/>
      <c r="AK9" s="31"/>
      <c r="AL9" s="31"/>
      <c r="AM9" s="31"/>
      <c r="AN9" s="31">
        <v>1.0</v>
      </c>
      <c r="AO9" s="31"/>
      <c r="AP9" s="39">
        <f t="shared" si="1"/>
        <v>1</v>
      </c>
      <c r="AQ9" s="39" t="s">
        <v>166</v>
      </c>
      <c r="AR9" s="39"/>
    </row>
    <row r="10">
      <c r="A10" s="58" t="s">
        <v>133</v>
      </c>
      <c r="B10" s="31" t="s">
        <v>127</v>
      </c>
      <c r="C10" s="10" t="s">
        <v>49</v>
      </c>
      <c r="D10" s="11"/>
      <c r="E10" s="12"/>
      <c r="F10" s="13" t="s">
        <v>71</v>
      </c>
      <c r="G10" s="14" t="s">
        <v>72</v>
      </c>
      <c r="H10" s="13" t="s">
        <v>73</v>
      </c>
      <c r="I10" s="16" t="s">
        <v>51</v>
      </c>
      <c r="J10" s="54" t="s">
        <v>61</v>
      </c>
      <c r="K10" s="18"/>
      <c r="L10" s="37"/>
      <c r="M10" s="37"/>
      <c r="N10" s="37"/>
      <c r="O10" s="37"/>
      <c r="P10" s="37"/>
      <c r="Q10" s="37"/>
      <c r="R10" s="37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1"/>
      <c r="AG10" s="31">
        <v>1.0</v>
      </c>
      <c r="AH10" s="31"/>
      <c r="AI10" s="31"/>
      <c r="AJ10" s="31"/>
      <c r="AK10" s="31"/>
      <c r="AL10" s="31"/>
      <c r="AM10" s="31"/>
      <c r="AN10" s="31"/>
      <c r="AO10" s="31"/>
      <c r="AP10" s="39">
        <f t="shared" si="1"/>
        <v>1</v>
      </c>
      <c r="AQ10" s="39" t="s">
        <v>166</v>
      </c>
      <c r="AR10" s="39"/>
    </row>
    <row r="11">
      <c r="A11" s="42" t="s">
        <v>161</v>
      </c>
      <c r="B11" s="31" t="s">
        <v>139</v>
      </c>
      <c r="C11" s="10" t="s">
        <v>117</v>
      </c>
      <c r="D11" s="11"/>
      <c r="E11" s="12"/>
      <c r="F11" s="13" t="s">
        <v>140</v>
      </c>
      <c r="G11" s="14" t="s">
        <v>141</v>
      </c>
      <c r="H11" s="13" t="s">
        <v>142</v>
      </c>
      <c r="I11" s="16" t="s">
        <v>75</v>
      </c>
      <c r="J11" s="54" t="s">
        <v>76</v>
      </c>
      <c r="K11" s="37"/>
      <c r="L11" s="37"/>
      <c r="M11" s="37"/>
      <c r="N11" s="37"/>
      <c r="O11" s="37"/>
      <c r="P11" s="37"/>
      <c r="Q11" s="37"/>
      <c r="R11" s="18"/>
      <c r="S11" s="37"/>
      <c r="T11" s="37"/>
      <c r="U11" s="37"/>
      <c r="V11" s="18"/>
      <c r="W11" s="18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18"/>
      <c r="AJ11" s="37"/>
      <c r="AK11" s="37"/>
      <c r="AL11" s="37"/>
      <c r="AM11" s="37"/>
      <c r="AN11" s="37"/>
      <c r="AO11" s="37"/>
      <c r="AP11" s="39">
        <f t="shared" si="1"/>
        <v>0</v>
      </c>
      <c r="AQ11" s="39" t="s">
        <v>161</v>
      </c>
      <c r="AR11" s="39"/>
    </row>
    <row r="12">
      <c r="A12" s="42" t="s">
        <v>133</v>
      </c>
      <c r="B12" s="31" t="s">
        <v>105</v>
      </c>
      <c r="C12" s="32" t="s">
        <v>49</v>
      </c>
      <c r="D12" s="33"/>
      <c r="E12" s="34"/>
      <c r="F12" s="18" t="s">
        <v>106</v>
      </c>
      <c r="G12" s="35" t="s">
        <v>107</v>
      </c>
      <c r="H12" s="18" t="s">
        <v>108</v>
      </c>
      <c r="I12" s="36" t="s">
        <v>62</v>
      </c>
      <c r="J12" s="54" t="s">
        <v>61</v>
      </c>
      <c r="K12" s="18"/>
      <c r="L12" s="37"/>
      <c r="M12" s="37"/>
      <c r="N12" s="37"/>
      <c r="O12" s="37"/>
      <c r="P12" s="37"/>
      <c r="Q12" s="37"/>
      <c r="R12" s="18"/>
      <c r="S12" s="37"/>
      <c r="T12" s="37"/>
      <c r="U12" s="45"/>
      <c r="V12" s="45"/>
      <c r="W12" s="53">
        <v>1.0</v>
      </c>
      <c r="X12" s="45"/>
      <c r="Y12" s="45"/>
      <c r="Z12" s="45"/>
      <c r="AA12" s="45"/>
      <c r="AB12" s="45"/>
      <c r="AC12" s="45"/>
      <c r="AD12" s="45"/>
      <c r="AE12" s="45"/>
      <c r="AF12" s="53"/>
      <c r="AG12" s="53"/>
      <c r="AH12" s="45"/>
      <c r="AI12" s="45"/>
      <c r="AJ12" s="45"/>
      <c r="AK12" s="53">
        <v>1.0</v>
      </c>
      <c r="AL12" s="45"/>
      <c r="AM12" s="45"/>
      <c r="AN12" s="45"/>
      <c r="AO12" s="45"/>
      <c r="AP12" s="39">
        <f t="shared" si="1"/>
        <v>2</v>
      </c>
      <c r="AQ12" s="39" t="s">
        <v>190</v>
      </c>
      <c r="AR12" s="39"/>
    </row>
    <row r="13">
      <c r="A13" s="42"/>
      <c r="B13" s="18" t="s">
        <v>191</v>
      </c>
      <c r="C13" s="10" t="s">
        <v>168</v>
      </c>
      <c r="D13" s="11" t="s">
        <v>45</v>
      </c>
      <c r="E13" s="12">
        <v>46232.0</v>
      </c>
      <c r="F13" s="13" t="s">
        <v>175</v>
      </c>
      <c r="G13" s="78" t="s">
        <v>179</v>
      </c>
      <c r="H13" s="78" t="s">
        <v>192</v>
      </c>
      <c r="I13" s="16" t="s">
        <v>51</v>
      </c>
      <c r="J13" s="54" t="s">
        <v>61</v>
      </c>
      <c r="K13" s="18"/>
      <c r="L13" s="18"/>
      <c r="M13" s="18"/>
      <c r="N13" s="37"/>
      <c r="O13" s="37"/>
      <c r="P13" s="37"/>
      <c r="Q13" s="18"/>
      <c r="R13" s="37"/>
      <c r="S13" s="37"/>
      <c r="T13" s="18"/>
      <c r="U13" s="18"/>
      <c r="V13" s="37"/>
      <c r="W13" s="18"/>
      <c r="X13" s="37"/>
      <c r="Y13" s="37"/>
      <c r="Z13" s="37"/>
      <c r="AA13" s="37"/>
      <c r="AB13" s="37"/>
      <c r="AC13" s="37"/>
      <c r="AD13" s="37"/>
      <c r="AE13" s="37"/>
      <c r="AF13" s="18"/>
      <c r="AG13" s="37"/>
      <c r="AH13" s="37"/>
      <c r="AI13" s="18"/>
      <c r="AJ13" s="18"/>
      <c r="AK13" s="37"/>
      <c r="AL13" s="18"/>
      <c r="AM13" s="37"/>
      <c r="AN13" s="18">
        <v>1.0</v>
      </c>
      <c r="AO13" s="37"/>
      <c r="AP13" s="39">
        <f t="shared" si="1"/>
        <v>1</v>
      </c>
      <c r="AQ13" s="39" t="s">
        <v>166</v>
      </c>
      <c r="AR13" s="39"/>
    </row>
    <row r="14">
      <c r="A14" s="42" t="s">
        <v>133</v>
      </c>
      <c r="B14" s="44" t="s">
        <v>110</v>
      </c>
      <c r="C14" s="10" t="s">
        <v>49</v>
      </c>
      <c r="D14" s="11"/>
      <c r="E14" s="12"/>
      <c r="F14" s="13" t="s">
        <v>64</v>
      </c>
      <c r="G14" s="14" t="s">
        <v>65</v>
      </c>
      <c r="H14" s="13" t="s">
        <v>66</v>
      </c>
      <c r="I14" s="16" t="s">
        <v>62</v>
      </c>
      <c r="J14" s="54" t="s">
        <v>61</v>
      </c>
      <c r="K14" s="18"/>
      <c r="L14" s="18"/>
      <c r="M14" s="18"/>
      <c r="N14" s="37"/>
      <c r="O14" s="37"/>
      <c r="P14" s="37"/>
      <c r="Q14" s="18"/>
      <c r="R14" s="37"/>
      <c r="S14" s="37"/>
      <c r="T14" s="18">
        <v>1.0</v>
      </c>
      <c r="U14" s="18"/>
      <c r="V14" s="37"/>
      <c r="W14" s="18"/>
      <c r="X14" s="37"/>
      <c r="Y14" s="37"/>
      <c r="Z14" s="37"/>
      <c r="AA14" s="37"/>
      <c r="AB14" s="37"/>
      <c r="AC14" s="37"/>
      <c r="AD14" s="37"/>
      <c r="AE14" s="37"/>
      <c r="AF14" s="18"/>
      <c r="AG14" s="37"/>
      <c r="AH14" s="37"/>
      <c r="AI14" s="18"/>
      <c r="AJ14" s="18"/>
      <c r="AK14" s="37"/>
      <c r="AL14" s="18">
        <v>1.0</v>
      </c>
      <c r="AM14" s="37"/>
      <c r="AN14" s="37"/>
      <c r="AO14" s="37"/>
      <c r="AP14" s="39">
        <f t="shared" si="1"/>
        <v>2</v>
      </c>
      <c r="AQ14" s="39"/>
      <c r="AR14" s="39"/>
    </row>
    <row r="15">
      <c r="A15" s="42" t="s">
        <v>133</v>
      </c>
      <c r="B15" s="18" t="s">
        <v>193</v>
      </c>
      <c r="C15" s="10"/>
      <c r="D15" s="11" t="s">
        <v>45</v>
      </c>
      <c r="E15" s="12">
        <v>46206.0</v>
      </c>
      <c r="F15" s="13" t="s">
        <v>155</v>
      </c>
      <c r="G15" s="14" t="s">
        <v>194</v>
      </c>
      <c r="H15" s="13" t="s">
        <v>138</v>
      </c>
      <c r="I15" s="16" t="s">
        <v>51</v>
      </c>
      <c r="J15" s="54" t="s">
        <v>61</v>
      </c>
      <c r="K15" s="18"/>
      <c r="L15" s="37"/>
      <c r="M15" s="37"/>
      <c r="N15" s="37"/>
      <c r="O15" s="37"/>
      <c r="P15" s="18">
        <v>1.0</v>
      </c>
      <c r="Q15" s="37"/>
      <c r="R15" s="37"/>
      <c r="S15" s="37"/>
      <c r="T15" s="37"/>
      <c r="U15" s="37"/>
      <c r="V15" s="18"/>
      <c r="W15" s="37"/>
      <c r="X15" s="37"/>
      <c r="Y15" s="37"/>
      <c r="Z15" s="37"/>
      <c r="AA15" s="37"/>
      <c r="AB15" s="18"/>
      <c r="AC15" s="37"/>
      <c r="AD15" s="18"/>
      <c r="AE15" s="37"/>
      <c r="AF15" s="37"/>
      <c r="AG15" s="37"/>
      <c r="AH15" s="37"/>
      <c r="AI15" s="37"/>
      <c r="AJ15" s="37"/>
      <c r="AK15" s="37"/>
      <c r="AL15" s="18"/>
      <c r="AM15" s="37"/>
      <c r="AN15" s="18"/>
      <c r="AO15" s="18"/>
      <c r="AP15" s="39">
        <f t="shared" si="1"/>
        <v>1</v>
      </c>
      <c r="AQ15" s="19"/>
      <c r="AR15" s="39"/>
    </row>
    <row r="16">
      <c r="A16" s="42"/>
      <c r="B16" s="18" t="s">
        <v>196</v>
      </c>
      <c r="C16" s="10" t="s">
        <v>168</v>
      </c>
      <c r="D16" s="11" t="s">
        <v>45</v>
      </c>
      <c r="E16" s="12">
        <v>46225.0</v>
      </c>
      <c r="F16" s="13" t="s">
        <v>197</v>
      </c>
      <c r="G16" s="78" t="s">
        <v>119</v>
      </c>
      <c r="H16" s="78" t="s">
        <v>120</v>
      </c>
      <c r="I16" s="16" t="s">
        <v>147</v>
      </c>
      <c r="J16" s="54" t="s">
        <v>61</v>
      </c>
      <c r="K16" s="18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18"/>
      <c r="W16" s="37"/>
      <c r="X16" s="37"/>
      <c r="Y16" s="37"/>
      <c r="Z16" s="37"/>
      <c r="AA16" s="37"/>
      <c r="AB16" s="18"/>
      <c r="AC16" s="18">
        <v>1.0</v>
      </c>
      <c r="AD16" s="18"/>
      <c r="AE16" s="37"/>
      <c r="AF16" s="37"/>
      <c r="AG16" s="37"/>
      <c r="AH16" s="37"/>
      <c r="AI16" s="37"/>
      <c r="AJ16" s="37"/>
      <c r="AK16" s="37"/>
      <c r="AL16" s="18"/>
      <c r="AM16" s="37"/>
      <c r="AN16" s="18"/>
      <c r="AO16" s="18"/>
      <c r="AP16" s="39">
        <f t="shared" si="1"/>
        <v>1</v>
      </c>
      <c r="AQ16" s="39" t="s">
        <v>166</v>
      </c>
      <c r="AR16" s="39"/>
    </row>
    <row r="17">
      <c r="A17" s="42" t="s">
        <v>161</v>
      </c>
      <c r="B17" s="18" t="s">
        <v>116</v>
      </c>
      <c r="C17" s="10" t="s">
        <v>117</v>
      </c>
      <c r="D17" s="11"/>
      <c r="E17" s="12"/>
      <c r="F17" s="13" t="s">
        <v>118</v>
      </c>
      <c r="G17" s="14" t="s">
        <v>119</v>
      </c>
      <c r="H17" s="13" t="s">
        <v>120</v>
      </c>
      <c r="I17" s="16" t="s">
        <v>75</v>
      </c>
      <c r="J17" s="54" t="s">
        <v>76</v>
      </c>
      <c r="K17" s="1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18"/>
      <c r="W17" s="37"/>
      <c r="X17" s="37"/>
      <c r="Y17" s="37"/>
      <c r="Z17" s="37"/>
      <c r="AA17" s="37"/>
      <c r="AB17" s="18"/>
      <c r="AC17" s="37"/>
      <c r="AD17" s="18"/>
      <c r="AE17" s="37"/>
      <c r="AF17" s="37"/>
      <c r="AG17" s="37"/>
      <c r="AH17" s="37"/>
      <c r="AI17" s="37"/>
      <c r="AJ17" s="37"/>
      <c r="AK17" s="37"/>
      <c r="AL17" s="18"/>
      <c r="AM17" s="37"/>
      <c r="AN17" s="18"/>
      <c r="AO17" s="18"/>
      <c r="AP17" s="39">
        <f t="shared" si="1"/>
        <v>0</v>
      </c>
      <c r="AQ17" s="39" t="s">
        <v>161</v>
      </c>
      <c r="AR17" s="39"/>
    </row>
    <row r="18">
      <c r="A18" s="42" t="s">
        <v>133</v>
      </c>
      <c r="B18" s="18" t="s">
        <v>112</v>
      </c>
      <c r="C18" s="10" t="s">
        <v>49</v>
      </c>
      <c r="D18" s="11"/>
      <c r="E18" s="12"/>
      <c r="F18" s="13" t="s">
        <v>113</v>
      </c>
      <c r="G18" s="14" t="s">
        <v>114</v>
      </c>
      <c r="H18" s="13" t="s">
        <v>123</v>
      </c>
      <c r="I18" s="16" t="s">
        <v>51</v>
      </c>
      <c r="J18" s="54" t="s">
        <v>61</v>
      </c>
      <c r="K18" s="18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18"/>
      <c r="Y18" s="18"/>
      <c r="Z18" s="18">
        <v>1.0</v>
      </c>
      <c r="AA18" s="18"/>
      <c r="AB18" s="37"/>
      <c r="AC18" s="37"/>
      <c r="AD18" s="37"/>
      <c r="AE18" s="37"/>
      <c r="AF18" s="37"/>
      <c r="AG18" s="37"/>
      <c r="AH18" s="37"/>
      <c r="AI18" s="37"/>
      <c r="AJ18" s="18"/>
      <c r="AK18" s="37"/>
      <c r="AL18" s="37"/>
      <c r="AM18" s="37"/>
      <c r="AN18" s="37"/>
      <c r="AO18" s="37"/>
      <c r="AP18" s="39">
        <f t="shared" si="1"/>
        <v>1</v>
      </c>
      <c r="AQ18" s="39" t="s">
        <v>166</v>
      </c>
      <c r="AR18" s="39"/>
    </row>
    <row r="19">
      <c r="A19" s="49" t="s">
        <v>133</v>
      </c>
      <c r="B19" s="31" t="s">
        <v>122</v>
      </c>
      <c r="C19" s="10" t="s">
        <v>49</v>
      </c>
      <c r="D19" s="11"/>
      <c r="E19" s="12"/>
      <c r="F19" s="13" t="s">
        <v>52</v>
      </c>
      <c r="G19" s="14" t="s">
        <v>53</v>
      </c>
      <c r="H19" s="13" t="s">
        <v>54</v>
      </c>
      <c r="I19" s="16" t="s">
        <v>62</v>
      </c>
      <c r="J19" s="54" t="s">
        <v>61</v>
      </c>
      <c r="K19" s="18"/>
      <c r="L19" s="18"/>
      <c r="M19" s="18"/>
      <c r="N19" s="37"/>
      <c r="O19" s="37"/>
      <c r="P19" s="18"/>
      <c r="Q19" s="18">
        <v>1.0</v>
      </c>
      <c r="R19" s="37"/>
      <c r="S19" s="37"/>
      <c r="T19" s="37"/>
      <c r="U19" s="37"/>
      <c r="V19" s="37"/>
      <c r="W19" s="37"/>
      <c r="X19" s="37"/>
      <c r="Y19" s="18"/>
      <c r="Z19" s="18"/>
      <c r="AA19" s="37"/>
      <c r="AB19" s="37"/>
      <c r="AC19" s="18"/>
      <c r="AD19" s="18"/>
      <c r="AE19" s="37"/>
      <c r="AF19" s="37"/>
      <c r="AG19" s="37"/>
      <c r="AH19" s="37"/>
      <c r="AI19" s="37"/>
      <c r="AJ19" s="18">
        <v>1.0</v>
      </c>
      <c r="AK19" s="37"/>
      <c r="AL19" s="37"/>
      <c r="AM19" s="37"/>
      <c r="AN19" s="37"/>
      <c r="AO19" s="37"/>
      <c r="AP19" s="39">
        <f t="shared" si="1"/>
        <v>2</v>
      </c>
      <c r="AQ19" s="39" t="s">
        <v>202</v>
      </c>
      <c r="AR19" s="39"/>
    </row>
    <row r="20">
      <c r="A20" s="49"/>
      <c r="B20" s="13" t="s">
        <v>203</v>
      </c>
      <c r="C20" s="10" t="s">
        <v>168</v>
      </c>
      <c r="D20" s="11" t="s">
        <v>45</v>
      </c>
      <c r="E20" s="12">
        <v>46232.0</v>
      </c>
      <c r="F20" s="13" t="s">
        <v>204</v>
      </c>
      <c r="G20" s="13" t="s">
        <v>205</v>
      </c>
      <c r="H20" s="13" t="s">
        <v>206</v>
      </c>
      <c r="I20" s="16" t="s">
        <v>51</v>
      </c>
      <c r="J20" s="54" t="s">
        <v>61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3">
        <v>1.0</v>
      </c>
      <c r="AN20" s="17"/>
      <c r="AO20" s="17"/>
      <c r="AP20" s="39">
        <f t="shared" si="1"/>
        <v>1</v>
      </c>
      <c r="AQ20" s="84"/>
      <c r="AR20" s="39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</row>
  </sheetData>
  <dataValidations>
    <dataValidation type="list" allowBlank="1" showErrorMessage="1" sqref="I2:I20">
      <formula1>"1X/SEMANA,2X/SEMANA,3X/SEMANA,4X/SEMANA,5X/SEMANA,6X/SEMANA,1X/DIA ,2X/DIA,3X/DIA,4X/DIA,1X/MÊS,2X/MÊS ,BIMESTRAL,TRIMESTRAL,PONTUAL,AVALIAÇÃO"</formula1>
    </dataValidation>
    <dataValidation type="list" allowBlank="1" showErrorMessage="1" sqref="J2:J20">
      <formula1>"Ok,S/A"</formula1>
    </dataValidation>
    <dataValidation type="list" allowBlank="1" showErrorMessage="1" sqref="C2:C20">
      <formula1>"UNIMED SÃO CARLOS,AMIL,PASA,UNIMED GUARULHOS,UNIMED NACIONAL,VIVEST,UNIMED SANTOS,BRADESCO"</formula1>
    </dataValidation>
    <dataValidation type="list" allowBlank="1" showErrorMessage="1" sqref="D2:D20">
      <formula1>"NOVO PACIENTE,READMISSÃO,TROCA,INTENSIFICAÇÃO,DESMAME,COBERTURA,REVEZAMENTO"</formula1>
    </dataValidation>
  </dataValidation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0.25"/>
    <col customWidth="1" min="3" max="3" width="23.0"/>
    <col customWidth="1" min="4" max="4" width="20.13"/>
    <col customWidth="1" min="6" max="6" width="27.75"/>
    <col customWidth="1" min="7" max="7" width="31.0"/>
    <col customWidth="1" min="8" max="8" width="16.0"/>
    <col customWidth="1" min="9" max="9" width="17.5"/>
    <col customWidth="1" min="10" max="10" width="8.5"/>
    <col customWidth="1" min="11" max="40" width="4.38"/>
    <col customWidth="1" min="41" max="41" width="4.0"/>
    <col customWidth="1" min="42" max="42" width="12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5" t="s">
        <v>8</v>
      </c>
      <c r="J1" s="52"/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68" t="s">
        <v>164</v>
      </c>
    </row>
    <row r="2">
      <c r="A2" s="73" t="s">
        <v>165</v>
      </c>
      <c r="B2" s="18" t="s">
        <v>63</v>
      </c>
      <c r="C2" s="10" t="s">
        <v>49</v>
      </c>
      <c r="D2" s="11"/>
      <c r="E2" s="12"/>
      <c r="F2" s="13" t="s">
        <v>64</v>
      </c>
      <c r="G2" s="14" t="s">
        <v>65</v>
      </c>
      <c r="H2" s="13" t="s">
        <v>66</v>
      </c>
      <c r="I2" s="16" t="s">
        <v>67</v>
      </c>
      <c r="J2" s="54"/>
      <c r="K2" s="18"/>
      <c r="L2" s="37"/>
      <c r="M2" s="37"/>
      <c r="N2" s="37"/>
      <c r="O2" s="18"/>
      <c r="P2" s="37"/>
      <c r="Q2" s="37"/>
      <c r="R2" s="37"/>
      <c r="S2" s="37"/>
      <c r="T2" s="37"/>
      <c r="U2" s="37"/>
      <c r="V2" s="18"/>
      <c r="W2" s="37"/>
      <c r="X2" s="18"/>
      <c r="Y2" s="18"/>
      <c r="Z2" s="37"/>
      <c r="AA2" s="37"/>
      <c r="AB2" s="18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9">
        <f t="shared" ref="AP2:AP21" si="1">SUM(K2:AO2)</f>
        <v>0</v>
      </c>
    </row>
    <row r="3">
      <c r="A3" s="76" t="s">
        <v>42</v>
      </c>
      <c r="B3" s="18" t="s">
        <v>187</v>
      </c>
      <c r="C3" s="32" t="s">
        <v>83</v>
      </c>
      <c r="D3" s="33" t="s">
        <v>45</v>
      </c>
      <c r="E3" s="34">
        <v>46246.0</v>
      </c>
      <c r="F3" s="18" t="s">
        <v>175</v>
      </c>
      <c r="G3" s="78" t="s">
        <v>188</v>
      </c>
      <c r="H3" s="78" t="s">
        <v>189</v>
      </c>
      <c r="I3" s="36" t="s">
        <v>51</v>
      </c>
      <c r="J3" s="54"/>
      <c r="K3" s="18"/>
      <c r="L3" s="37"/>
      <c r="M3" s="37"/>
      <c r="N3" s="37"/>
      <c r="O3" s="37"/>
      <c r="P3" s="37"/>
      <c r="Q3" s="37"/>
      <c r="R3" s="37"/>
      <c r="S3" s="37"/>
      <c r="T3" s="18"/>
      <c r="U3" s="37"/>
      <c r="V3" s="18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18"/>
      <c r="AI3" s="37"/>
      <c r="AJ3" s="37"/>
      <c r="AK3" s="37"/>
      <c r="AL3" s="18"/>
      <c r="AM3" s="37"/>
      <c r="AN3" s="37"/>
      <c r="AO3" s="37"/>
      <c r="AP3" s="39">
        <f t="shared" si="1"/>
        <v>0</v>
      </c>
    </row>
    <row r="4">
      <c r="A4" s="79" t="s">
        <v>68</v>
      </c>
      <c r="B4" s="18" t="s">
        <v>167</v>
      </c>
      <c r="C4" s="32" t="s">
        <v>168</v>
      </c>
      <c r="D4" s="33"/>
      <c r="E4" s="34"/>
      <c r="F4" s="18" t="s">
        <v>84</v>
      </c>
      <c r="G4" s="78" t="s">
        <v>85</v>
      </c>
      <c r="H4" s="78" t="s">
        <v>86</v>
      </c>
      <c r="I4" s="36" t="s">
        <v>51</v>
      </c>
      <c r="J4" s="54"/>
      <c r="K4" s="18"/>
      <c r="L4" s="37"/>
      <c r="M4" s="37"/>
      <c r="N4" s="37"/>
      <c r="O4" s="37"/>
      <c r="P4" s="37"/>
      <c r="Q4" s="37"/>
      <c r="R4" s="37"/>
      <c r="S4" s="37"/>
      <c r="T4" s="18"/>
      <c r="U4" s="37"/>
      <c r="V4" s="18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18"/>
      <c r="AI4" s="37"/>
      <c r="AJ4" s="37"/>
      <c r="AK4" s="37"/>
      <c r="AL4" s="18"/>
      <c r="AM4" s="37"/>
      <c r="AN4" s="37"/>
      <c r="AO4" s="37"/>
      <c r="AP4" s="39">
        <f t="shared" si="1"/>
        <v>0</v>
      </c>
    </row>
    <row r="5">
      <c r="A5" s="80" t="s">
        <v>60</v>
      </c>
      <c r="B5" s="18" t="s">
        <v>87</v>
      </c>
      <c r="C5" s="32" t="s">
        <v>49</v>
      </c>
      <c r="D5" s="33"/>
      <c r="E5" s="34"/>
      <c r="F5" s="18" t="s">
        <v>64</v>
      </c>
      <c r="G5" s="35" t="s">
        <v>65</v>
      </c>
      <c r="H5" s="18" t="s">
        <v>66</v>
      </c>
      <c r="I5" s="36" t="s">
        <v>75</v>
      </c>
      <c r="J5" s="54"/>
      <c r="K5" s="18"/>
      <c r="L5" s="37"/>
      <c r="M5" s="37"/>
      <c r="N5" s="37"/>
      <c r="O5" s="37"/>
      <c r="P5" s="37"/>
      <c r="Q5" s="37"/>
      <c r="R5" s="37"/>
      <c r="S5" s="37"/>
      <c r="T5" s="18"/>
      <c r="U5" s="37"/>
      <c r="V5" s="18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18"/>
      <c r="AI5" s="37"/>
      <c r="AJ5" s="37"/>
      <c r="AK5" s="37"/>
      <c r="AL5" s="37"/>
      <c r="AM5" s="37"/>
      <c r="AN5" s="37"/>
      <c r="AO5" s="37"/>
      <c r="AP5" s="39">
        <f t="shared" si="1"/>
        <v>0</v>
      </c>
    </row>
    <row r="6">
      <c r="B6" s="18" t="s">
        <v>169</v>
      </c>
      <c r="C6" s="32" t="s">
        <v>168</v>
      </c>
      <c r="D6" s="33"/>
      <c r="E6" s="34"/>
      <c r="F6" s="18" t="s">
        <v>170</v>
      </c>
      <c r="G6" s="78" t="s">
        <v>172</v>
      </c>
      <c r="H6" s="78" t="s">
        <v>173</v>
      </c>
      <c r="I6" s="36" t="s">
        <v>51</v>
      </c>
      <c r="J6" s="54"/>
      <c r="K6" s="18"/>
      <c r="L6" s="37"/>
      <c r="M6" s="18"/>
      <c r="N6" s="37"/>
      <c r="O6" s="37"/>
      <c r="P6" s="37"/>
      <c r="Q6" s="37"/>
      <c r="R6" s="37"/>
      <c r="S6" s="37"/>
      <c r="T6" s="37"/>
      <c r="U6" s="18"/>
      <c r="V6" s="37"/>
      <c r="W6" s="37"/>
      <c r="X6" s="37"/>
      <c r="Y6" s="37"/>
      <c r="Z6" s="37"/>
      <c r="AA6" s="37"/>
      <c r="AB6" s="37"/>
      <c r="AC6" s="37"/>
      <c r="AD6" s="37"/>
      <c r="AE6" s="37"/>
      <c r="AF6" s="18"/>
      <c r="AG6" s="37"/>
      <c r="AH6" s="37"/>
      <c r="AI6" s="37"/>
      <c r="AJ6" s="37"/>
      <c r="AK6" s="37"/>
      <c r="AL6" s="37"/>
      <c r="AM6" s="37"/>
      <c r="AN6" s="37"/>
      <c r="AO6" s="18"/>
      <c r="AP6" s="39">
        <f t="shared" si="1"/>
        <v>0</v>
      </c>
    </row>
    <row r="7">
      <c r="A7" s="82"/>
      <c r="B7" s="31" t="s">
        <v>174</v>
      </c>
      <c r="C7" s="32" t="s">
        <v>168</v>
      </c>
      <c r="D7" s="33"/>
      <c r="E7" s="34"/>
      <c r="F7" s="18" t="s">
        <v>175</v>
      </c>
      <c r="G7" s="78" t="s">
        <v>179</v>
      </c>
      <c r="H7" s="78" t="s">
        <v>180</v>
      </c>
      <c r="I7" s="36" t="s">
        <v>51</v>
      </c>
      <c r="J7" s="54"/>
      <c r="K7" s="18"/>
      <c r="L7" s="37"/>
      <c r="M7" s="37"/>
      <c r="N7" s="37"/>
      <c r="O7" s="37"/>
      <c r="P7" s="37"/>
      <c r="Q7" s="37"/>
      <c r="R7" s="37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39">
        <f t="shared" si="1"/>
        <v>0</v>
      </c>
    </row>
    <row r="8">
      <c r="A8" s="82"/>
      <c r="B8" s="31" t="s">
        <v>181</v>
      </c>
      <c r="C8" s="32" t="s">
        <v>168</v>
      </c>
      <c r="D8" s="33"/>
      <c r="E8" s="34"/>
      <c r="F8" s="18" t="s">
        <v>182</v>
      </c>
      <c r="G8" s="78" t="s">
        <v>183</v>
      </c>
      <c r="H8" s="78" t="s">
        <v>184</v>
      </c>
      <c r="I8" s="36" t="s">
        <v>51</v>
      </c>
      <c r="J8" s="54"/>
      <c r="K8" s="18"/>
      <c r="L8" s="37"/>
      <c r="M8" s="37"/>
      <c r="N8" s="37"/>
      <c r="O8" s="37"/>
      <c r="P8" s="37"/>
      <c r="Q8" s="37"/>
      <c r="R8" s="37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53"/>
      <c r="AM8" s="45"/>
      <c r="AN8" s="45"/>
      <c r="AO8" s="45"/>
      <c r="AP8" s="39">
        <f t="shared" si="1"/>
        <v>0</v>
      </c>
    </row>
    <row r="9">
      <c r="A9" s="82"/>
      <c r="B9" s="31" t="s">
        <v>185</v>
      </c>
      <c r="C9" s="32" t="s">
        <v>83</v>
      </c>
      <c r="D9" s="33"/>
      <c r="E9" s="34"/>
      <c r="F9" s="18" t="s">
        <v>186</v>
      </c>
      <c r="G9" s="83" t="s">
        <v>137</v>
      </c>
      <c r="H9" s="83" t="s">
        <v>138</v>
      </c>
      <c r="I9" s="36" t="s">
        <v>51</v>
      </c>
      <c r="J9" s="54"/>
      <c r="K9" s="18"/>
      <c r="L9" s="37"/>
      <c r="M9" s="37"/>
      <c r="N9" s="37"/>
      <c r="O9" s="37"/>
      <c r="P9" s="37"/>
      <c r="Q9" s="37"/>
      <c r="R9" s="37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9">
        <f t="shared" si="1"/>
        <v>0</v>
      </c>
    </row>
    <row r="10">
      <c r="B10" s="31" t="s">
        <v>195</v>
      </c>
      <c r="C10" s="10" t="s">
        <v>83</v>
      </c>
      <c r="D10" s="11" t="s">
        <v>109</v>
      </c>
      <c r="E10" s="12">
        <v>46239.0</v>
      </c>
      <c r="F10" s="13" t="s">
        <v>136</v>
      </c>
      <c r="G10" s="78" t="s">
        <v>137</v>
      </c>
      <c r="H10" s="78" t="s">
        <v>138</v>
      </c>
      <c r="I10" s="16" t="s">
        <v>51</v>
      </c>
      <c r="J10" s="54"/>
      <c r="K10" s="18"/>
      <c r="L10" s="37"/>
      <c r="M10" s="37"/>
      <c r="N10" s="37"/>
      <c r="O10" s="37"/>
      <c r="P10" s="37"/>
      <c r="Q10" s="37"/>
      <c r="R10" s="37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9">
        <f t="shared" si="1"/>
        <v>0</v>
      </c>
    </row>
    <row r="11">
      <c r="B11" s="31" t="s">
        <v>198</v>
      </c>
      <c r="C11" s="10" t="s">
        <v>199</v>
      </c>
      <c r="D11" s="11" t="s">
        <v>45</v>
      </c>
      <c r="E11" s="12">
        <v>46246.0</v>
      </c>
      <c r="F11" s="13" t="s">
        <v>175</v>
      </c>
      <c r="G11" s="78" t="s">
        <v>200</v>
      </c>
      <c r="H11" s="78" t="s">
        <v>201</v>
      </c>
      <c r="I11" s="16" t="s">
        <v>51</v>
      </c>
      <c r="J11" s="54"/>
      <c r="K11" s="18"/>
      <c r="L11" s="37"/>
      <c r="M11" s="37"/>
      <c r="N11" s="37"/>
      <c r="O11" s="37"/>
      <c r="P11" s="37"/>
      <c r="Q11" s="37"/>
      <c r="R11" s="37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9">
        <f t="shared" si="1"/>
        <v>0</v>
      </c>
    </row>
    <row r="12">
      <c r="B12" s="31" t="s">
        <v>127</v>
      </c>
      <c r="C12" s="10" t="s">
        <v>49</v>
      </c>
      <c r="D12" s="11"/>
      <c r="E12" s="12"/>
      <c r="F12" s="13" t="s">
        <v>71</v>
      </c>
      <c r="G12" s="14" t="s">
        <v>72</v>
      </c>
      <c r="H12" s="13" t="s">
        <v>73</v>
      </c>
      <c r="I12" s="16" t="s">
        <v>51</v>
      </c>
      <c r="J12" s="54"/>
      <c r="K12" s="18"/>
      <c r="L12" s="37"/>
      <c r="M12" s="37"/>
      <c r="N12" s="37"/>
      <c r="O12" s="37"/>
      <c r="P12" s="37"/>
      <c r="Q12" s="37"/>
      <c r="R12" s="37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9">
        <f t="shared" si="1"/>
        <v>0</v>
      </c>
    </row>
    <row r="13">
      <c r="A13" s="42"/>
      <c r="B13" s="31" t="s">
        <v>139</v>
      </c>
      <c r="C13" s="10" t="s">
        <v>117</v>
      </c>
      <c r="D13" s="11"/>
      <c r="E13" s="12"/>
      <c r="F13" s="13" t="s">
        <v>140</v>
      </c>
      <c r="G13" s="14" t="s">
        <v>141</v>
      </c>
      <c r="H13" s="13" t="s">
        <v>142</v>
      </c>
      <c r="I13" s="16" t="s">
        <v>75</v>
      </c>
      <c r="J13" s="54"/>
      <c r="K13" s="37"/>
      <c r="L13" s="37"/>
      <c r="M13" s="37"/>
      <c r="N13" s="37"/>
      <c r="O13" s="37"/>
      <c r="P13" s="37"/>
      <c r="Q13" s="37"/>
      <c r="R13" s="18"/>
      <c r="S13" s="37"/>
      <c r="T13" s="37"/>
      <c r="U13" s="37"/>
      <c r="V13" s="18"/>
      <c r="W13" s="18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18"/>
      <c r="AJ13" s="37"/>
      <c r="AK13" s="37"/>
      <c r="AL13" s="37"/>
      <c r="AM13" s="37"/>
      <c r="AN13" s="37"/>
      <c r="AO13" s="37"/>
      <c r="AP13" s="39">
        <f t="shared" si="1"/>
        <v>0</v>
      </c>
    </row>
    <row r="14">
      <c r="A14" s="42"/>
      <c r="B14" s="31" t="s">
        <v>105</v>
      </c>
      <c r="C14" s="32" t="s">
        <v>49</v>
      </c>
      <c r="D14" s="33"/>
      <c r="E14" s="34"/>
      <c r="F14" s="18" t="s">
        <v>106</v>
      </c>
      <c r="G14" s="35" t="s">
        <v>107</v>
      </c>
      <c r="H14" s="18" t="s">
        <v>108</v>
      </c>
      <c r="I14" s="36" t="s">
        <v>62</v>
      </c>
      <c r="J14" s="54"/>
      <c r="K14" s="18"/>
      <c r="L14" s="37"/>
      <c r="M14" s="37"/>
      <c r="N14" s="37"/>
      <c r="O14" s="37"/>
      <c r="P14" s="37"/>
      <c r="Q14" s="37"/>
      <c r="R14" s="18"/>
      <c r="S14" s="37"/>
      <c r="T14" s="37"/>
      <c r="U14" s="45"/>
      <c r="V14" s="45"/>
      <c r="W14" s="53"/>
      <c r="X14" s="45"/>
      <c r="Y14" s="45"/>
      <c r="Z14" s="45"/>
      <c r="AA14" s="45"/>
      <c r="AB14" s="45"/>
      <c r="AC14" s="45"/>
      <c r="AD14" s="45"/>
      <c r="AE14" s="45"/>
      <c r="AF14" s="53"/>
      <c r="AG14" s="53"/>
      <c r="AH14" s="45"/>
      <c r="AI14" s="45"/>
      <c r="AJ14" s="45"/>
      <c r="AK14" s="53"/>
      <c r="AL14" s="45"/>
      <c r="AM14" s="45"/>
      <c r="AN14" s="45"/>
      <c r="AO14" s="45"/>
      <c r="AP14" s="39">
        <f t="shared" si="1"/>
        <v>0</v>
      </c>
    </row>
    <row r="15">
      <c r="A15" s="42"/>
      <c r="B15" s="18" t="s">
        <v>191</v>
      </c>
      <c r="C15" s="10" t="s">
        <v>168</v>
      </c>
      <c r="D15" s="11"/>
      <c r="E15" s="12"/>
      <c r="F15" s="13" t="s">
        <v>175</v>
      </c>
      <c r="G15" s="78" t="s">
        <v>179</v>
      </c>
      <c r="H15" s="78" t="s">
        <v>192</v>
      </c>
      <c r="I15" s="16" t="s">
        <v>51</v>
      </c>
      <c r="J15" s="54"/>
      <c r="K15" s="18"/>
      <c r="L15" s="18"/>
      <c r="M15" s="18"/>
      <c r="N15" s="37"/>
      <c r="O15" s="37"/>
      <c r="P15" s="37"/>
      <c r="Q15" s="18"/>
      <c r="R15" s="37"/>
      <c r="S15" s="37"/>
      <c r="T15" s="18"/>
      <c r="U15" s="18"/>
      <c r="V15" s="37"/>
      <c r="W15" s="18"/>
      <c r="X15" s="37"/>
      <c r="Y15" s="37"/>
      <c r="Z15" s="37"/>
      <c r="AA15" s="37"/>
      <c r="AB15" s="37"/>
      <c r="AC15" s="37"/>
      <c r="AD15" s="37"/>
      <c r="AE15" s="37"/>
      <c r="AF15" s="18"/>
      <c r="AG15" s="37"/>
      <c r="AH15" s="37"/>
      <c r="AI15" s="18"/>
      <c r="AJ15" s="18"/>
      <c r="AK15" s="37"/>
      <c r="AL15" s="18"/>
      <c r="AM15" s="37"/>
      <c r="AN15" s="18"/>
      <c r="AO15" s="37"/>
      <c r="AP15" s="39">
        <f t="shared" si="1"/>
        <v>0</v>
      </c>
    </row>
    <row r="16">
      <c r="A16" s="42"/>
      <c r="B16" s="18" t="s">
        <v>193</v>
      </c>
      <c r="C16" s="10" t="s">
        <v>168</v>
      </c>
      <c r="D16" s="11"/>
      <c r="E16" s="12"/>
      <c r="F16" s="13" t="s">
        <v>155</v>
      </c>
      <c r="G16" s="14" t="s">
        <v>194</v>
      </c>
      <c r="H16" s="13" t="s">
        <v>138</v>
      </c>
      <c r="I16" s="16" t="s">
        <v>51</v>
      </c>
      <c r="J16" s="54"/>
      <c r="K16" s="18"/>
      <c r="L16" s="37"/>
      <c r="M16" s="37"/>
      <c r="N16" s="37"/>
      <c r="O16" s="37"/>
      <c r="P16" s="18"/>
      <c r="Q16" s="37"/>
      <c r="R16" s="37"/>
      <c r="S16" s="37"/>
      <c r="T16" s="37"/>
      <c r="U16" s="37"/>
      <c r="V16" s="18"/>
      <c r="W16" s="37"/>
      <c r="X16" s="37"/>
      <c r="Y16" s="37"/>
      <c r="Z16" s="37"/>
      <c r="AA16" s="37"/>
      <c r="AB16" s="18"/>
      <c r="AC16" s="37"/>
      <c r="AD16" s="18"/>
      <c r="AE16" s="37"/>
      <c r="AF16" s="37"/>
      <c r="AG16" s="37"/>
      <c r="AH16" s="37"/>
      <c r="AI16" s="37"/>
      <c r="AJ16" s="37"/>
      <c r="AK16" s="37"/>
      <c r="AL16" s="18"/>
      <c r="AM16" s="37"/>
      <c r="AN16" s="18"/>
      <c r="AO16" s="18"/>
      <c r="AP16" s="39">
        <f t="shared" si="1"/>
        <v>0</v>
      </c>
    </row>
    <row r="17">
      <c r="A17" s="42"/>
      <c r="B17" s="18" t="s">
        <v>207</v>
      </c>
      <c r="C17" s="10" t="s">
        <v>168</v>
      </c>
      <c r="D17" s="11" t="s">
        <v>45</v>
      </c>
      <c r="E17" s="12">
        <v>46244.0</v>
      </c>
      <c r="F17" s="13" t="s">
        <v>175</v>
      </c>
      <c r="G17" s="78" t="s">
        <v>179</v>
      </c>
      <c r="H17" s="78" t="s">
        <v>180</v>
      </c>
      <c r="I17" s="16" t="s">
        <v>208</v>
      </c>
      <c r="J17" s="54"/>
      <c r="K17" s="18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18"/>
      <c r="W17" s="37"/>
      <c r="X17" s="37"/>
      <c r="Y17" s="37"/>
      <c r="Z17" s="37"/>
      <c r="AA17" s="37"/>
      <c r="AB17" s="18"/>
      <c r="AC17" s="37"/>
      <c r="AD17" s="18"/>
      <c r="AE17" s="37"/>
      <c r="AF17" s="37"/>
      <c r="AG17" s="37"/>
      <c r="AH17" s="37"/>
      <c r="AI17" s="37"/>
      <c r="AJ17" s="37"/>
      <c r="AK17" s="37"/>
      <c r="AL17" s="18"/>
      <c r="AM17" s="37"/>
      <c r="AN17" s="18"/>
      <c r="AO17" s="18"/>
      <c r="AP17" s="39">
        <f t="shared" si="1"/>
        <v>0</v>
      </c>
    </row>
    <row r="18">
      <c r="A18" s="42"/>
      <c r="B18" s="18" t="s">
        <v>116</v>
      </c>
      <c r="C18" s="10" t="s">
        <v>117</v>
      </c>
      <c r="D18" s="11"/>
      <c r="E18" s="12"/>
      <c r="F18" s="13" t="s">
        <v>118</v>
      </c>
      <c r="G18" s="14" t="s">
        <v>119</v>
      </c>
      <c r="H18" s="13" t="s">
        <v>120</v>
      </c>
      <c r="I18" s="16" t="s">
        <v>75</v>
      </c>
      <c r="J18" s="54"/>
      <c r="K18" s="18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18"/>
      <c r="W18" s="37"/>
      <c r="X18" s="37"/>
      <c r="Y18" s="37"/>
      <c r="Z18" s="37"/>
      <c r="AA18" s="37"/>
      <c r="AB18" s="18"/>
      <c r="AC18" s="37"/>
      <c r="AD18" s="18"/>
      <c r="AE18" s="37"/>
      <c r="AF18" s="37"/>
      <c r="AG18" s="37"/>
      <c r="AH18" s="37"/>
      <c r="AI18" s="37"/>
      <c r="AJ18" s="37"/>
      <c r="AK18" s="37"/>
      <c r="AL18" s="18"/>
      <c r="AM18" s="37"/>
      <c r="AN18" s="18"/>
      <c r="AO18" s="18"/>
      <c r="AP18" s="39">
        <f t="shared" si="1"/>
        <v>0</v>
      </c>
    </row>
    <row r="19">
      <c r="A19" s="42"/>
      <c r="B19" s="18" t="s">
        <v>112</v>
      </c>
      <c r="C19" s="10" t="s">
        <v>49</v>
      </c>
      <c r="D19" s="11"/>
      <c r="E19" s="12"/>
      <c r="F19" s="13" t="s">
        <v>113</v>
      </c>
      <c r="G19" s="14" t="s">
        <v>114</v>
      </c>
      <c r="H19" s="13" t="s">
        <v>123</v>
      </c>
      <c r="I19" s="16" t="s">
        <v>51</v>
      </c>
      <c r="J19" s="54"/>
      <c r="K19" s="18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18"/>
      <c r="Y19" s="18"/>
      <c r="Z19" s="18"/>
      <c r="AA19" s="18"/>
      <c r="AB19" s="37"/>
      <c r="AC19" s="37"/>
      <c r="AD19" s="37"/>
      <c r="AE19" s="37"/>
      <c r="AF19" s="37"/>
      <c r="AG19" s="37"/>
      <c r="AH19" s="37"/>
      <c r="AI19" s="37"/>
      <c r="AJ19" s="18"/>
      <c r="AK19" s="37"/>
      <c r="AL19" s="37"/>
      <c r="AM19" s="37"/>
      <c r="AN19" s="37"/>
      <c r="AO19" s="37"/>
      <c r="AP19" s="39">
        <f t="shared" si="1"/>
        <v>0</v>
      </c>
    </row>
    <row r="20">
      <c r="A20" s="49"/>
      <c r="B20" s="31" t="s">
        <v>122</v>
      </c>
      <c r="C20" s="10" t="s">
        <v>49</v>
      </c>
      <c r="D20" s="11"/>
      <c r="E20" s="12"/>
      <c r="F20" s="13" t="s">
        <v>52</v>
      </c>
      <c r="G20" s="14" t="s">
        <v>53</v>
      </c>
      <c r="H20" s="13" t="s">
        <v>54</v>
      </c>
      <c r="I20" s="16" t="s">
        <v>62</v>
      </c>
      <c r="J20" s="54"/>
      <c r="K20" s="18"/>
      <c r="L20" s="18"/>
      <c r="M20" s="18"/>
      <c r="N20" s="37"/>
      <c r="O20" s="37"/>
      <c r="P20" s="18"/>
      <c r="Q20" s="18"/>
      <c r="R20" s="37"/>
      <c r="S20" s="37"/>
      <c r="T20" s="37"/>
      <c r="U20" s="37"/>
      <c r="V20" s="37"/>
      <c r="W20" s="37"/>
      <c r="X20" s="37"/>
      <c r="Y20" s="18"/>
      <c r="Z20" s="18"/>
      <c r="AA20" s="37"/>
      <c r="AB20" s="37"/>
      <c r="AC20" s="18"/>
      <c r="AD20" s="18"/>
      <c r="AE20" s="37"/>
      <c r="AF20" s="37"/>
      <c r="AG20" s="37"/>
      <c r="AH20" s="37"/>
      <c r="AI20" s="37"/>
      <c r="AJ20" s="18"/>
      <c r="AK20" s="37"/>
      <c r="AL20" s="37"/>
      <c r="AM20" s="37"/>
      <c r="AN20" s="37"/>
      <c r="AO20" s="37"/>
      <c r="AP20" s="39">
        <f t="shared" si="1"/>
        <v>0</v>
      </c>
    </row>
    <row r="21">
      <c r="A21" s="49"/>
      <c r="B21" s="13" t="s">
        <v>203</v>
      </c>
      <c r="C21" s="10" t="s">
        <v>168</v>
      </c>
      <c r="D21" s="11"/>
      <c r="E21" s="12"/>
      <c r="F21" s="13" t="s">
        <v>204</v>
      </c>
      <c r="G21" s="13" t="s">
        <v>205</v>
      </c>
      <c r="H21" s="13" t="s">
        <v>206</v>
      </c>
      <c r="I21" s="16" t="s">
        <v>51</v>
      </c>
      <c r="J21" s="54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18"/>
      <c r="AN21" s="37"/>
      <c r="AO21" s="37"/>
      <c r="AP21" s="39">
        <f t="shared" si="1"/>
        <v>0</v>
      </c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</row>
  </sheetData>
  <dataValidations>
    <dataValidation type="list" allowBlank="1" showErrorMessage="1" sqref="I2:I21">
      <formula1>"1X/SEMANA,2X/SEMANA,3X/SEMANA,4X/SEMANA,5X/SEMANA,6X/SEMANA,1X/DIA ,2X/DIA,3X/DIA,4X/DIA,1X/MÊS,2X/MÊS ,BIMESTRAL,TRIMESTRAL,PONTUAL,AVALIAÇÃO"</formula1>
    </dataValidation>
    <dataValidation type="list" allowBlank="1" showErrorMessage="1" sqref="J2:J21">
      <formula1>"Ok,S/A"</formula1>
    </dataValidation>
    <dataValidation type="list" allowBlank="1" showErrorMessage="1" sqref="C2:C21">
      <formula1>"UNIMED SÃO CARLOS,AMIL,PASA,UNIMED GUARULHOS,UNIMED NACIONAL,VIVEST,UNIMED SANTOS,BRADESCO,PORTO SEGURO"</formula1>
    </dataValidation>
    <dataValidation type="list" allowBlank="1" showErrorMessage="1" sqref="D2:D21">
      <formula1>"NOVO PACIENTE,READMISSÃO,TROCA,INTENSIFICAÇÃO,DESMAME,COBERTURA,REVEZAMENTO"</formula1>
    </dataValidation>
  </dataValidations>
  <drawing r:id="rId2"/>
  <legacyDrawing r:id="rId3"/>
</worksheet>
</file>