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25" sheetId="1" r:id="rId5"/>
    <sheet state="hidden" name="JANEIRO26" sheetId="2" r:id="rId6"/>
    <sheet state="hidden" name="FEVEREIRO26" sheetId="3" r:id="rId7"/>
    <sheet state="hidden" name="MARÇO26" sheetId="4" r:id="rId8"/>
    <sheet state="hidden" name="ABRIL26" sheetId="5" r:id="rId9"/>
    <sheet state="hidden" name="MAIO26" sheetId="6" r:id="rId10"/>
    <sheet state="hidden" name="JUNHO26" sheetId="7" r:id="rId11"/>
    <sheet state="visible" name="JULHO26" sheetId="8" r:id="rId12"/>
    <sheet state="visible" name="AGOSTO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Desmame para 1x/semana em 01/02/2026</t>
      </text>
    </comment>
  </commentList>
</comments>
</file>

<file path=xl/sharedStrings.xml><?xml version="1.0" encoding="utf-8"?>
<sst xmlns="http://schemas.openxmlformats.org/spreadsheetml/2006/main" count="471" uniqueCount="62">
  <si>
    <t xml:space="preserve"> STATUS</t>
  </si>
  <si>
    <t>PACIENTE</t>
  </si>
  <si>
    <t>CONVÊNIO</t>
  </si>
  <si>
    <t>MOTIVO</t>
  </si>
  <si>
    <t>DATA</t>
  </si>
  <si>
    <t>CIDADE</t>
  </si>
  <si>
    <t xml:space="preserve">PROFISSIONAIS </t>
  </si>
  <si>
    <t>CONTATO</t>
  </si>
  <si>
    <t>PAD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</si>
  <si>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</si>
  <si>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</si>
  <si>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</si>
  <si>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</si>
  <si>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</si>
  <si>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</si>
  <si>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</si>
  <si>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</si>
  <si>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</si>
  <si>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</si>
  <si>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</si>
  <si>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</si>
  <si>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</si>
  <si>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</si>
  <si>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</si>
  <si>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</si>
  <si>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</si>
  <si>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</si>
  <si>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</si>
  <si>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</si>
  <si>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</si>
  <si>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</si>
  <si>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</si>
  <si>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</si>
  <si>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</si>
  <si>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</si>
  <si>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</si>
  <si>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</si>
  <si>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</si>
  <si>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</si>
  <si>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</si>
  <si>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</si>
  <si>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INTERNAÇÃO</t>
  </si>
  <si>
    <t>NATHALY ROCHA DE SOUZA</t>
  </si>
  <si>
    <t>AMIL</t>
  </si>
  <si>
    <t xml:space="preserve">ITAQUAQUECETUBA </t>
  </si>
  <si>
    <t>NOVO PACIENTE</t>
  </si>
  <si>
    <t>Ana Carolina Abrantes Martinelli</t>
  </si>
  <si>
    <t>12 99137-8599</t>
  </si>
  <si>
    <t>1X/SEMANA</t>
  </si>
  <si>
    <t>ok</t>
  </si>
  <si>
    <t>MANUELLA SILVEIRA FREIRE</t>
  </si>
  <si>
    <t xml:space="preserve">PENDENCIA </t>
  </si>
  <si>
    <t>ÓBITO</t>
  </si>
  <si>
    <t xml:space="preserve">ALTA </t>
  </si>
  <si>
    <t>BELO HORIZONTE</t>
  </si>
  <si>
    <t>Vany Ferreira de Azevedo Otoni</t>
  </si>
  <si>
    <t>31 8480-5420</t>
  </si>
  <si>
    <t>2X/SEMANA</t>
  </si>
  <si>
    <t>(12) 99137-2495</t>
  </si>
  <si>
    <t>FP</t>
  </si>
  <si>
    <t>ALTA</t>
  </si>
  <si>
    <t>3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</si>
</sst>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rgb="FFFFFFFF"/>
      <name val="Calibri"/>
    </font>
    <font>
      <b/>
      <color theme="1"/>
      <name val="Calibri"/>
    </font>
    <font>
      <b/>
      <color rgb="FFFFFFFF"/>
      <name val="Calibri"/>
    </font>
    <font>
      <color theme="1"/>
      <name val="Arial"/>
      <scheme val="minor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vertical="bottom"/>
    </xf>
    <xf borderId="2" fillId="4" fontId="3" numFmtId="49" xfId="0" applyAlignment="1" applyBorder="1" applyFill="1" applyFont="1" applyNumberFormat="1">
      <alignment horizontal="center" readingOrder="0" vertical="bottom"/>
    </xf>
    <xf borderId="1" fillId="4" fontId="3" numFmtId="49" xfId="0" applyAlignment="1" applyBorder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/>
    </xf>
    <xf borderId="1" fillId="4" fontId="4" numFmtId="49" xfId="0" applyAlignment="1" applyBorder="1" applyFont="1" applyNumberFormat="1">
      <alignment horizontal="center" readingOrder="0" vertical="bottom"/>
    </xf>
    <xf borderId="2" fillId="0" fontId="4" numFmtId="0" xfId="0" applyAlignment="1" applyBorder="1" applyFont="1">
      <alignment horizontal="center"/>
    </xf>
    <xf borderId="2" fillId="5" fontId="5" numFmtId="0" xfId="0" applyAlignment="1" applyBorder="1" applyFill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4" fillId="6" fontId="3" numFmtId="0" xfId="0" applyAlignment="1" applyBorder="1" applyFill="1" applyFont="1">
      <alignment horizontal="center" vertical="bottom"/>
    </xf>
    <xf borderId="2" fillId="7" fontId="6" numFmtId="0" xfId="0" applyAlignment="1" applyBorder="1" applyFill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4" fillId="6" fontId="7" numFmtId="0" xfId="0" applyAlignment="1" applyBorder="1" applyFont="1">
      <alignment horizontal="center" vertical="bottom"/>
    </xf>
    <xf borderId="2" fillId="7" fontId="8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/>
    </xf>
    <xf borderId="2" fillId="8" fontId="4" numFmtId="0" xfId="0" applyAlignment="1" applyBorder="1" applyFill="1" applyFont="1">
      <alignment horizontal="center"/>
    </xf>
    <xf borderId="0" fillId="4" fontId="3" numFmtId="0" xfId="0" applyAlignment="1" applyFont="1">
      <alignment horizontal="center" vertical="bottom"/>
    </xf>
    <xf borderId="0" fillId="2" fontId="1" numFmtId="49" xfId="0" applyAlignment="1" applyFont="1" applyNumberFormat="1">
      <alignment horizontal="center" readingOrder="0" vertical="bottom"/>
    </xf>
    <xf borderId="2" fillId="0" fontId="9" numFmtId="0" xfId="0" applyBorder="1" applyFont="1"/>
    <xf borderId="2" fillId="0" fontId="9" numFmtId="0" xfId="0" applyAlignment="1" applyBorder="1" applyFont="1">
      <alignment readingOrder="0"/>
    </xf>
    <xf borderId="2" fillId="4" fontId="5" numFmtId="49" xfId="0" applyAlignment="1" applyBorder="1" applyFont="1" applyNumberFormat="1">
      <alignment horizontal="center" vertical="center"/>
    </xf>
    <xf borderId="0" fillId="6" fontId="5" numFmtId="49" xfId="0" applyAlignment="1" applyFont="1" applyNumberFormat="1">
      <alignment horizontal="center" vertical="center"/>
    </xf>
    <xf borderId="2" fillId="5" fontId="7" numFmtId="49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readingOrder="0"/>
    </xf>
    <xf borderId="2" fillId="0" fontId="10" numFmtId="0" xfId="0" applyBorder="1" applyFont="1"/>
    <xf borderId="2" fillId="4" fontId="5" numFmtId="0" xfId="0" applyAlignment="1" applyBorder="1" applyFont="1">
      <alignment horizontal="center" readingOrder="0"/>
    </xf>
    <xf borderId="0" fillId="4" fontId="5" numFmtId="49" xfId="0" applyAlignment="1" applyFont="1" applyNumberFormat="1">
      <alignment horizontal="center" readingOrder="0" vertical="center"/>
    </xf>
    <xf borderId="2" fillId="3" fontId="7" numFmtId="49" xfId="0" applyAlignment="1" applyBorder="1" applyFont="1" applyNumberFormat="1">
      <alignment horizontal="center" vertical="bottom"/>
    </xf>
    <xf borderId="0" fillId="0" fontId="10" numFmtId="0" xfId="0" applyFont="1"/>
    <xf borderId="2" fillId="7" fontId="7" numFmtId="49" xfId="0" applyAlignment="1" applyBorder="1" applyFont="1" applyNumberFormat="1">
      <alignment horizontal="center" vertical="bottom"/>
    </xf>
    <xf borderId="2" fillId="6" fontId="7" numFmtId="49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16.75"/>
    <col customWidth="1" min="4" max="4" width="15.5"/>
    <col customWidth="1" min="6" max="6" width="19.5"/>
    <col customWidth="1" min="7" max="7" width="27.63"/>
    <col customWidth="1" min="8" max="8" width="13.63"/>
    <col customWidth="1" min="9" max="9" width="16.0"/>
    <col customWidth="1" min="10" max="40" width="3.38"/>
    <col customWidth="1" min="41" max="41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8" t="s">
        <v>41</v>
      </c>
      <c r="B2" s="7" t="s">
        <v>42</v>
      </c>
      <c r="C2" s="9" t="s">
        <v>43</v>
      </c>
      <c r="D2" s="10" t="s">
        <v>45</v>
      </c>
      <c r="E2" s="11">
        <v>45995.0</v>
      </c>
      <c r="F2" s="7" t="s">
        <v>44</v>
      </c>
      <c r="G2" s="7" t="s">
        <v>46</v>
      </c>
      <c r="H2" s="7" t="s">
        <v>47</v>
      </c>
      <c r="I2" s="12" t="s">
        <v>48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5">
        <v>0.0</v>
      </c>
    </row>
    <row r="3">
      <c r="A3" s="19" t="s">
        <v>51</v>
      </c>
    </row>
    <row r="4">
      <c r="A4" s="20" t="s">
        <v>52</v>
      </c>
    </row>
    <row r="5">
      <c r="A5" s="21" t="s">
        <v>53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41.13"/>
    <col customWidth="1" min="3" max="3" width="16.75"/>
    <col customWidth="1" min="4" max="4" width="15.5"/>
    <col customWidth="1" min="6" max="6" width="19.5"/>
    <col customWidth="1" min="7" max="7" width="27.63"/>
    <col customWidth="1" min="8" max="8" width="13.63"/>
    <col customWidth="1" min="9" max="9" width="16.0"/>
    <col customWidth="1" min="10" max="40" width="3.38"/>
    <col customWidth="1" min="41" max="41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14" t="s">
        <v>50</v>
      </c>
      <c r="C2" s="9"/>
      <c r="D2" s="10" t="s">
        <v>45</v>
      </c>
      <c r="E2" s="11">
        <v>46031.0</v>
      </c>
      <c r="F2" s="7" t="s">
        <v>54</v>
      </c>
      <c r="G2" s="22" t="s">
        <v>55</v>
      </c>
      <c r="H2" s="7" t="s">
        <v>56</v>
      </c>
      <c r="I2" s="12" t="s">
        <v>57</v>
      </c>
      <c r="J2" s="23"/>
      <c r="K2" s="23"/>
      <c r="L2" s="23"/>
      <c r="M2" s="23"/>
      <c r="N2" s="23"/>
      <c r="O2" s="23"/>
      <c r="P2" s="23"/>
      <c r="Q2" s="2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5">
        <v>0.0</v>
      </c>
    </row>
    <row r="3">
      <c r="A3" s="16" t="s">
        <v>51</v>
      </c>
      <c r="B3" s="7" t="s">
        <v>42</v>
      </c>
      <c r="C3" s="9" t="s">
        <v>43</v>
      </c>
      <c r="D3" s="10"/>
      <c r="E3" s="11"/>
      <c r="F3" s="7" t="s">
        <v>44</v>
      </c>
      <c r="G3" s="7" t="s">
        <v>46</v>
      </c>
      <c r="H3" s="7" t="s">
        <v>47</v>
      </c>
      <c r="I3" s="12" t="s">
        <v>48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5">
        <v>0.0</v>
      </c>
    </row>
    <row r="4">
      <c r="A4" s="17" t="s">
        <v>52</v>
      </c>
    </row>
    <row r="5">
      <c r="A5" s="18" t="s">
        <v>53</v>
      </c>
    </row>
    <row r="6">
      <c r="A6" s="24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CARLOS,AMIL,CASSI,ECONOMUS,PASA,FESP,UNIMED GUARULHOS,UNIMED SANTOS,VIVEST,UNIMED NACIONAL,UNIMED SEGUROS"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41.13"/>
    <col customWidth="1" min="3" max="3" width="16.75"/>
    <col customWidth="1" min="4" max="4" width="15.5"/>
    <col customWidth="1" min="6" max="6" width="19.5"/>
    <col customWidth="1" min="7" max="7" width="27.63"/>
    <col customWidth="1" min="8" max="8" width="13.63"/>
    <col customWidth="1" min="9" max="9" width="16.0"/>
    <col customWidth="1" min="10" max="40" width="3.38"/>
    <col customWidth="1" min="41" max="41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7" t="s">
        <v>42</v>
      </c>
      <c r="C2" s="9" t="s">
        <v>43</v>
      </c>
      <c r="D2" s="10"/>
      <c r="E2" s="11"/>
      <c r="F2" s="7" t="s">
        <v>44</v>
      </c>
      <c r="G2" s="7" t="s">
        <v>46</v>
      </c>
      <c r="H2" s="7" t="s">
        <v>47</v>
      </c>
      <c r="I2" s="12" t="s">
        <v>48</v>
      </c>
      <c r="J2" s="13"/>
      <c r="K2" s="13"/>
      <c r="L2" s="13"/>
      <c r="M2" s="13"/>
      <c r="N2" s="7" t="s">
        <v>49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5">
        <v>0.0</v>
      </c>
    </row>
    <row r="3">
      <c r="A3" s="16" t="s">
        <v>51</v>
      </c>
    </row>
    <row r="4">
      <c r="A4" s="17" t="s">
        <v>52</v>
      </c>
    </row>
    <row r="5">
      <c r="A5" s="18" t="s">
        <v>53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6" max="6" width="16.38"/>
    <col customWidth="1" min="7" max="7" width="25.13"/>
    <col customWidth="1" min="9" max="9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7" t="s">
        <v>42</v>
      </c>
      <c r="C2" s="9" t="s">
        <v>43</v>
      </c>
      <c r="D2" s="10"/>
      <c r="E2" s="11"/>
      <c r="F2" s="7" t="s">
        <v>44</v>
      </c>
      <c r="G2" s="7" t="s">
        <v>46</v>
      </c>
      <c r="H2" s="7" t="s">
        <v>47</v>
      </c>
      <c r="I2" s="12" t="s">
        <v>48</v>
      </c>
      <c r="J2" s="13"/>
      <c r="K2" s="13"/>
      <c r="L2" s="13"/>
      <c r="M2" s="13"/>
      <c r="N2" s="7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5">
        <v>0.0</v>
      </c>
    </row>
    <row r="3">
      <c r="A3" s="16" t="s">
        <v>51</v>
      </c>
    </row>
    <row r="4">
      <c r="A4" s="17" t="s">
        <v>52</v>
      </c>
    </row>
    <row r="5">
      <c r="A5" s="18" t="s">
        <v>53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6" max="6" width="16.38"/>
    <col customWidth="1" min="7" max="7" width="25.13"/>
    <col customWidth="1" min="8" max="8" width="14.25"/>
    <col customWidth="1" min="9" max="9" width="17.75"/>
    <col customWidth="1" min="10" max="40" width="4.88"/>
    <col customWidth="1" min="41" max="41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7" t="s">
        <v>42</v>
      </c>
      <c r="C2" s="9" t="s">
        <v>43</v>
      </c>
      <c r="D2" s="10"/>
      <c r="E2" s="11"/>
      <c r="F2" s="7" t="s">
        <v>44</v>
      </c>
      <c r="G2" s="7" t="s">
        <v>46</v>
      </c>
      <c r="H2" s="7" t="s">
        <v>58</v>
      </c>
      <c r="I2" s="12" t="s">
        <v>48</v>
      </c>
      <c r="J2" s="13"/>
      <c r="K2" s="13"/>
      <c r="L2" s="13"/>
      <c r="M2" s="13"/>
      <c r="N2" s="7"/>
      <c r="O2" s="7">
        <v>1.0</v>
      </c>
      <c r="P2" s="13"/>
      <c r="Q2" s="13"/>
      <c r="R2" s="13"/>
      <c r="S2" s="13"/>
      <c r="T2" s="13"/>
      <c r="U2" s="13"/>
      <c r="V2" s="7">
        <v>1.0</v>
      </c>
      <c r="W2" s="13"/>
      <c r="X2" s="13"/>
      <c r="Y2" s="13"/>
      <c r="Z2" s="13"/>
      <c r="AA2" s="13"/>
      <c r="AB2" s="13"/>
      <c r="AC2" s="7">
        <v>2.0</v>
      </c>
      <c r="AD2" s="13"/>
      <c r="AE2" s="13"/>
      <c r="AF2" s="13"/>
      <c r="AG2" s="13"/>
      <c r="AH2" s="13"/>
      <c r="AI2" s="13"/>
      <c r="AJ2" s="7">
        <v>1.0</v>
      </c>
      <c r="AK2" s="13"/>
      <c r="AL2" s="13"/>
      <c r="AM2" s="13"/>
      <c r="AN2" s="13"/>
      <c r="AO2" s="15">
        <v>5.0</v>
      </c>
    </row>
    <row r="3">
      <c r="A3" s="16" t="s">
        <v>51</v>
      </c>
    </row>
    <row r="4">
      <c r="A4" s="17" t="s">
        <v>52</v>
      </c>
    </row>
    <row r="5">
      <c r="A5" s="18" t="s">
        <v>53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6" max="6" width="16.38"/>
    <col customWidth="1" min="7" max="7" width="25.13"/>
    <col customWidth="1" min="8" max="8" width="14.25"/>
    <col customWidth="1" min="9" max="9" width="17.75"/>
    <col customWidth="1" min="10" max="40" width="4.88"/>
    <col customWidth="1" min="41" max="41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7" t="s">
        <v>42</v>
      </c>
      <c r="C2" s="9" t="s">
        <v>43</v>
      </c>
      <c r="D2" s="10"/>
      <c r="E2" s="11"/>
      <c r="F2" s="7" t="s">
        <v>44</v>
      </c>
      <c r="G2" s="7" t="s">
        <v>46</v>
      </c>
      <c r="H2" s="7" t="s">
        <v>58</v>
      </c>
      <c r="I2" s="12" t="s">
        <v>48</v>
      </c>
      <c r="J2" s="13"/>
      <c r="K2" s="13"/>
      <c r="L2" s="13"/>
      <c r="M2" s="7">
        <v>1.0</v>
      </c>
      <c r="N2" s="7"/>
      <c r="O2" s="7"/>
      <c r="P2" s="13"/>
      <c r="Q2" s="13"/>
      <c r="R2" s="13"/>
      <c r="S2" s="13"/>
      <c r="T2" s="7">
        <v>1.0</v>
      </c>
      <c r="U2" s="13"/>
      <c r="V2" s="7"/>
      <c r="W2" s="13"/>
      <c r="X2" s="13"/>
      <c r="Y2" s="13"/>
      <c r="Z2" s="13"/>
      <c r="AA2" s="7">
        <v>1.0</v>
      </c>
      <c r="AB2" s="13"/>
      <c r="AC2" s="7"/>
      <c r="AD2" s="13"/>
      <c r="AE2" s="13"/>
      <c r="AF2" s="13"/>
      <c r="AG2" s="7"/>
      <c r="AH2" s="7">
        <v>1.0</v>
      </c>
      <c r="AI2" s="13"/>
      <c r="AJ2" s="7"/>
      <c r="AK2" s="13"/>
      <c r="AL2" s="13"/>
      <c r="AM2" s="13"/>
      <c r="AN2" s="13"/>
      <c r="AO2" s="15">
        <v>4.0</v>
      </c>
    </row>
    <row r="3">
      <c r="A3" s="16" t="s">
        <v>51</v>
      </c>
    </row>
    <row r="4">
      <c r="A4" s="17" t="s">
        <v>52</v>
      </c>
    </row>
    <row r="5">
      <c r="A5" s="18" t="s">
        <v>53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6" max="6" width="16.38"/>
    <col customWidth="1" min="7" max="7" width="25.13"/>
    <col customWidth="1" min="8" max="8" width="14.25"/>
    <col customWidth="1" min="9" max="9" width="17.75"/>
    <col customWidth="1" min="10" max="40" width="4.88"/>
    <col customWidth="1" min="41" max="42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25" t="s">
        <v>59</v>
      </c>
    </row>
    <row r="2">
      <c r="A2" s="6" t="s">
        <v>41</v>
      </c>
      <c r="B2" s="7" t="s">
        <v>42</v>
      </c>
      <c r="C2" s="9" t="s">
        <v>43</v>
      </c>
      <c r="D2" s="10"/>
      <c r="E2" s="11"/>
      <c r="F2" s="7" t="s">
        <v>44</v>
      </c>
      <c r="G2" s="7" t="s">
        <v>46</v>
      </c>
      <c r="H2" s="7" t="s">
        <v>58</v>
      </c>
      <c r="I2" s="12" t="s">
        <v>48</v>
      </c>
      <c r="J2" s="26"/>
      <c r="K2" s="27">
        <v>1.0</v>
      </c>
      <c r="L2" s="26"/>
      <c r="M2" s="13"/>
      <c r="N2" s="13"/>
      <c r="O2" s="13"/>
      <c r="P2" s="13"/>
      <c r="Q2" s="7">
        <v>1.0</v>
      </c>
      <c r="R2" s="13"/>
      <c r="S2" s="13"/>
      <c r="T2" s="13"/>
      <c r="U2" s="13"/>
      <c r="V2" s="13"/>
      <c r="W2" s="13"/>
      <c r="X2" s="7">
        <v>1.0</v>
      </c>
      <c r="Y2" s="13"/>
      <c r="Z2" s="13"/>
      <c r="AA2" s="13"/>
      <c r="AB2" s="13"/>
      <c r="AC2" s="13"/>
      <c r="AD2" s="13"/>
      <c r="AE2" s="7">
        <v>1.0</v>
      </c>
      <c r="AF2" s="13"/>
      <c r="AG2" s="13"/>
      <c r="AH2" s="13"/>
      <c r="AI2" s="13"/>
      <c r="AJ2" s="13"/>
      <c r="AK2" s="13"/>
      <c r="AL2" s="13"/>
      <c r="AM2" s="13"/>
      <c r="AN2" s="13"/>
      <c r="AO2" s="28">
        <f>AN2+AM2+AL2+AK2+AJ2+AI2+AH2+AG2+AF2+AE2+AD2+AC2+AB2+AA2+Z2+Y2+X2+W2+V2+U2+T2+S2+R2+Q2+P2+O2+N2+M2+L2+K2+J2</f>
        <v>4</v>
      </c>
      <c r="AP2" s="29"/>
    </row>
    <row r="3">
      <c r="A3" s="16" t="s">
        <v>51</v>
      </c>
    </row>
    <row r="4">
      <c r="A4" s="17" t="s">
        <v>52</v>
      </c>
    </row>
    <row r="5">
      <c r="A5" s="18" t="s">
        <v>53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0.5"/>
    <col customWidth="1" min="6" max="6" width="19.25"/>
    <col customWidth="1" min="7" max="7" width="30.75"/>
    <col customWidth="1" min="8" max="8" width="14.25"/>
    <col customWidth="1" min="9" max="9" width="17.75"/>
    <col customWidth="1" min="10" max="40" width="4.88"/>
    <col customWidth="1" min="41" max="42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25" t="s">
        <v>59</v>
      </c>
    </row>
    <row r="2">
      <c r="A2" s="30" t="s">
        <v>60</v>
      </c>
      <c r="B2" s="7" t="s">
        <v>42</v>
      </c>
      <c r="C2" s="9" t="s">
        <v>43</v>
      </c>
      <c r="D2" s="10"/>
      <c r="E2" s="11"/>
      <c r="F2" s="7" t="s">
        <v>44</v>
      </c>
      <c r="G2" s="7" t="s">
        <v>46</v>
      </c>
      <c r="H2" s="7" t="s">
        <v>58</v>
      </c>
      <c r="I2" s="12" t="s">
        <v>48</v>
      </c>
      <c r="J2" s="31"/>
      <c r="K2" s="31"/>
      <c r="L2" s="32"/>
      <c r="M2" s="13"/>
      <c r="N2" s="13"/>
      <c r="O2" s="7">
        <v>1.0</v>
      </c>
      <c r="P2" s="13"/>
      <c r="Q2" s="7"/>
      <c r="R2" s="13"/>
      <c r="S2" s="13"/>
      <c r="T2" s="13"/>
      <c r="U2" s="13"/>
      <c r="V2" s="13"/>
      <c r="W2" s="13"/>
      <c r="X2" s="7"/>
      <c r="Y2" s="7"/>
      <c r="Z2" s="13"/>
      <c r="AA2" s="7"/>
      <c r="AB2" s="13"/>
      <c r="AC2" s="7">
        <v>1.0</v>
      </c>
      <c r="AD2" s="13"/>
      <c r="AE2" s="7"/>
      <c r="AF2" s="13"/>
      <c r="AG2" s="13"/>
      <c r="AH2" s="13"/>
      <c r="AI2" s="7"/>
      <c r="AJ2" s="7">
        <v>1.0</v>
      </c>
      <c r="AK2" s="7"/>
      <c r="AL2" s="13"/>
      <c r="AM2" s="13"/>
      <c r="AN2" s="13"/>
      <c r="AO2" s="33">
        <f>SUM(J2:AN2)</f>
        <v>3</v>
      </c>
      <c r="AP2" s="34" t="s">
        <v>61</v>
      </c>
    </row>
    <row r="3">
      <c r="A3" s="35" t="s">
        <v>41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>
      <c r="A4" s="37" t="s">
        <v>52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>
      <c r="A5" s="38" t="s">
        <v>51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0.5"/>
    <col customWidth="1" min="3" max="3" width="13.75"/>
    <col customWidth="1" min="6" max="6" width="19.25"/>
    <col customWidth="1" min="7" max="7" width="30.75"/>
    <col customWidth="1" min="8" max="8" width="14.25"/>
    <col customWidth="1" min="9" max="9" width="17.75"/>
    <col customWidth="1" min="10" max="40" width="4.88"/>
    <col customWidth="1" min="41" max="42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25" t="s">
        <v>59</v>
      </c>
    </row>
    <row r="2">
      <c r="A2" s="30" t="s">
        <v>60</v>
      </c>
      <c r="B2" s="7" t="s">
        <v>42</v>
      </c>
      <c r="C2" s="9" t="s">
        <v>43</v>
      </c>
      <c r="D2" s="10"/>
      <c r="E2" s="11"/>
      <c r="F2" s="7" t="s">
        <v>44</v>
      </c>
      <c r="G2" s="7" t="s">
        <v>46</v>
      </c>
      <c r="H2" s="7" t="s">
        <v>58</v>
      </c>
      <c r="I2" s="12" t="s">
        <v>48</v>
      </c>
      <c r="J2" s="39"/>
      <c r="K2" s="39"/>
      <c r="L2" s="40"/>
      <c r="M2" s="13"/>
      <c r="N2" s="13"/>
      <c r="O2" s="13"/>
      <c r="P2" s="13"/>
      <c r="Q2" s="7"/>
      <c r="R2" s="13"/>
      <c r="S2" s="13"/>
      <c r="T2" s="13"/>
      <c r="U2" s="13"/>
      <c r="V2" s="13"/>
      <c r="W2" s="13"/>
      <c r="X2" s="7"/>
      <c r="Y2" s="7"/>
      <c r="Z2" s="13"/>
      <c r="AA2" s="7"/>
      <c r="AB2" s="13"/>
      <c r="AC2" s="13"/>
      <c r="AD2" s="13"/>
      <c r="AE2" s="7"/>
      <c r="AF2" s="13"/>
      <c r="AG2" s="13"/>
      <c r="AH2" s="13"/>
      <c r="AI2" s="7"/>
      <c r="AJ2" s="7"/>
      <c r="AK2" s="7"/>
      <c r="AL2" s="13"/>
      <c r="AM2" s="13"/>
      <c r="AN2" s="13"/>
      <c r="AO2" s="33">
        <f>SUM(J2:AN2)</f>
        <v>0</v>
      </c>
      <c r="AP2" s="28"/>
    </row>
    <row r="3">
      <c r="A3" s="35" t="s">
        <v>41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>
      <c r="A4" s="37" t="s">
        <v>52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>
      <c r="A5" s="38" t="s">
        <v>51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CARLOS,AMIL,CASSI,ECONOMUS,PASA,FESP,UNIMED GUARULHOS,UNIMED SANTOS,VIVEST,UNIMED NACIONAL,UNIMED SEGUROS"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